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tudublin-my.sharepoint.com/personal/a00043106_mytudublin_ie/Documents/Documents/GitHub/Data-CA/"/>
    </mc:Choice>
  </mc:AlternateContent>
  <xr:revisionPtr revIDLastSave="590" documentId="11_F25DC773A252ABDACC10481131DA6A845ADE58EC" xr6:coauthVersionLast="47" xr6:coauthVersionMax="47" xr10:uidLastSave="{53989B5B-1F1F-45B1-8FD6-B57DC7502C94}"/>
  <bookViews>
    <workbookView xWindow="-110" yWindow="-110" windowWidth="19420" windowHeight="10300" activeTab="1" xr2:uid="{00000000-000D-0000-FFFF-FFFF00000000}"/>
  </bookViews>
  <sheets>
    <sheet name="Original data set" sheetId="2" r:id="rId1"/>
    <sheet name="Pre cleaning sta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1" l="1"/>
  <c r="Q25" i="1"/>
  <c r="S25" i="1"/>
  <c r="R25" i="1"/>
  <c r="S22" i="1"/>
  <c r="Q22" i="1"/>
  <c r="R22" i="1"/>
  <c r="R17" i="1"/>
  <c r="Q21" i="1"/>
  <c r="P17" i="1"/>
  <c r="Q17" i="1"/>
  <c r="S17" i="1"/>
  <c r="S18" i="1"/>
  <c r="R18" i="1"/>
  <c r="P18" i="1"/>
  <c r="R5" i="1"/>
  <c r="Q5" i="1"/>
  <c r="P5" i="1"/>
  <c r="S5" i="1"/>
  <c r="T5" i="1"/>
  <c r="T4" i="1"/>
  <c r="S4" i="1"/>
  <c r="R4" i="1"/>
  <c r="Q4" i="1"/>
  <c r="P4" i="1"/>
  <c r="AB105" i="1"/>
  <c r="AB22" i="1"/>
  <c r="AB35" i="1"/>
  <c r="AB48" i="1"/>
  <c r="AB36" i="1"/>
  <c r="AB23" i="1"/>
  <c r="AB25" i="1"/>
  <c r="AB37" i="1"/>
  <c r="AB49" i="1"/>
  <c r="AB28" i="1"/>
  <c r="AB29" i="1"/>
  <c r="AB24" i="1"/>
  <c r="AB69" i="1"/>
  <c r="AB70" i="1"/>
  <c r="AB71" i="1"/>
  <c r="AB26" i="1"/>
  <c r="AB38" i="1"/>
  <c r="AB50" i="1"/>
  <c r="AB85" i="1"/>
  <c r="AB51" i="1"/>
  <c r="AB72" i="1"/>
  <c r="AB30" i="1"/>
  <c r="AB52" i="1"/>
  <c r="AB73" i="1"/>
  <c r="AB74" i="1"/>
  <c r="AB53" i="1"/>
  <c r="AB54" i="1"/>
  <c r="AB55" i="1"/>
  <c r="AB86" i="1"/>
  <c r="AB31" i="1"/>
  <c r="AB56" i="1"/>
  <c r="AB39" i="1"/>
  <c r="AB87" i="1"/>
  <c r="AB57" i="1"/>
  <c r="AB88" i="1"/>
  <c r="AB75" i="1"/>
  <c r="AB58" i="1"/>
  <c r="AB89" i="1"/>
  <c r="AB40" i="1"/>
  <c r="AB32" i="1"/>
  <c r="AB59" i="1"/>
  <c r="AB60" i="1"/>
  <c r="AB76" i="1"/>
  <c r="AB33" i="1"/>
  <c r="AB61" i="1"/>
  <c r="AB62" i="1"/>
  <c r="AB34" i="1"/>
  <c r="AB63" i="1"/>
  <c r="AB64" i="1"/>
  <c r="AB90" i="1"/>
  <c r="AB77" i="1"/>
  <c r="AB91" i="1"/>
  <c r="AB92" i="1"/>
  <c r="AB78" i="1"/>
  <c r="AB93" i="1"/>
  <c r="AB41" i="1"/>
  <c r="AB94" i="1"/>
  <c r="AB95" i="1"/>
  <c r="AB79" i="1"/>
  <c r="AB80" i="1"/>
  <c r="AB81" i="1"/>
  <c r="AB27" i="1"/>
  <c r="AB42" i="1"/>
  <c r="AB43" i="1"/>
  <c r="AB96" i="1"/>
  <c r="AB82" i="1"/>
  <c r="AB65" i="1"/>
  <c r="AB97" i="1"/>
  <c r="AB98" i="1"/>
  <c r="AB66" i="1"/>
  <c r="AB99" i="1"/>
  <c r="AB100" i="1"/>
  <c r="AB83" i="1"/>
  <c r="AB44" i="1"/>
  <c r="AB101" i="1"/>
  <c r="AB67" i="1"/>
  <c r="AB102" i="1"/>
  <c r="AB103" i="1"/>
  <c r="AB104" i="1"/>
  <c r="AB84" i="1"/>
  <c r="AB106" i="1"/>
  <c r="AB107" i="1"/>
  <c r="AB108" i="1"/>
  <c r="AB45" i="1"/>
  <c r="AB46" i="1"/>
  <c r="AB68" i="1"/>
  <c r="AB47" i="1"/>
  <c r="AB21" i="1"/>
  <c r="Y24" i="1"/>
  <c r="Y38" i="1"/>
  <c r="Y30" i="1"/>
  <c r="Y27" i="1"/>
  <c r="Y37" i="1"/>
  <c r="Y32" i="1"/>
  <c r="Y31" i="1"/>
  <c r="Y25" i="1"/>
  <c r="Y41" i="1"/>
  <c r="Y39" i="1"/>
  <c r="Y36" i="1"/>
  <c r="Y35" i="1"/>
  <c r="Y40" i="1"/>
  <c r="Y33" i="1"/>
  <c r="Y34" i="1"/>
  <c r="Y21" i="1"/>
  <c r="Y23" i="1"/>
  <c r="Y26" i="1"/>
  <c r="Y29" i="1"/>
  <c r="Y28" i="1"/>
  <c r="Y22" i="1"/>
  <c r="K2" i="1" a="1"/>
  <c r="K2" i="1" s="1"/>
  <c r="L2" i="1" s="1"/>
  <c r="V25" i="1"/>
  <c r="V23" i="1"/>
  <c r="V22" i="1"/>
  <c r="V24" i="1"/>
  <c r="V21" i="1"/>
  <c r="Q20" i="1"/>
  <c r="T13" i="1"/>
  <c r="T12" i="1"/>
  <c r="T10" i="1"/>
  <c r="T9" i="1"/>
  <c r="T7" i="1"/>
  <c r="T8" i="1"/>
  <c r="T11" i="1"/>
  <c r="Q8" i="1"/>
  <c r="R8" i="1"/>
  <c r="P8" i="1"/>
  <c r="R11" i="1"/>
  <c r="Q11" i="1"/>
  <c r="P11" i="1"/>
  <c r="R10" i="1"/>
  <c r="Q10" i="1"/>
  <c r="P10" i="1"/>
  <c r="R13" i="1"/>
  <c r="Q13" i="1"/>
  <c r="P13" i="1"/>
  <c r="R9" i="1"/>
  <c r="Q9" i="1"/>
  <c r="P9" i="1"/>
  <c r="R12" i="1"/>
  <c r="Q12" i="1"/>
  <c r="P12" i="1"/>
  <c r="R7" i="1"/>
  <c r="Q7" i="1"/>
  <c r="P7" i="1"/>
  <c r="AB109" i="1" l="1"/>
  <c r="R21" i="1"/>
  <c r="L239" i="1"/>
  <c r="L214" i="1"/>
  <c r="L190" i="1"/>
  <c r="L165" i="1"/>
  <c r="L152" i="1"/>
  <c r="L140" i="1"/>
  <c r="L116" i="1"/>
  <c r="L104" i="1"/>
  <c r="L92" i="1"/>
  <c r="L80" i="1"/>
  <c r="L68" i="1"/>
  <c r="L56" i="1"/>
  <c r="L44" i="1"/>
  <c r="L32" i="1"/>
  <c r="L20" i="1"/>
  <c r="L8" i="1"/>
  <c r="L251" i="1"/>
  <c r="L225" i="1"/>
  <c r="L213" i="1"/>
  <c r="L189" i="1"/>
  <c r="L164" i="1"/>
  <c r="L139" i="1"/>
  <c r="L115" i="1"/>
  <c r="L91" i="1"/>
  <c r="L67" i="1"/>
  <c r="L43" i="1"/>
  <c r="L31" i="1"/>
  <c r="L7" i="1"/>
  <c r="L224" i="1"/>
  <c r="L240" i="1"/>
  <c r="L215" i="1"/>
  <c r="L178" i="1"/>
  <c r="L153" i="1"/>
  <c r="L129" i="1"/>
  <c r="L105" i="1"/>
  <c r="L93" i="1"/>
  <c r="L69" i="1"/>
  <c r="L45" i="1"/>
  <c r="L33" i="1"/>
  <c r="L9" i="1"/>
  <c r="L236" i="1"/>
  <c r="L211" i="1"/>
  <c r="L187" i="1"/>
  <c r="L162" i="1"/>
  <c r="L137" i="1"/>
  <c r="L113" i="1"/>
  <c r="L89" i="1"/>
  <c r="L65" i="1"/>
  <c r="L41" i="1"/>
  <c r="L29" i="1"/>
  <c r="L5" i="1"/>
  <c r="L245" i="1"/>
  <c r="L233" i="1"/>
  <c r="L220" i="1"/>
  <c r="L208" i="1"/>
  <c r="L196" i="1"/>
  <c r="L184" i="1"/>
  <c r="L171" i="1"/>
  <c r="L159" i="1"/>
  <c r="L146" i="1"/>
  <c r="L134" i="1"/>
  <c r="L122" i="1"/>
  <c r="L110" i="1"/>
  <c r="L98" i="1"/>
  <c r="L86" i="1"/>
  <c r="L74" i="1"/>
  <c r="L62" i="1"/>
  <c r="L50" i="1"/>
  <c r="L38" i="1"/>
  <c r="L26" i="1"/>
  <c r="L14" i="1"/>
  <c r="L244" i="1"/>
  <c r="L232" i="1"/>
  <c r="L219" i="1"/>
  <c r="L207" i="1"/>
  <c r="L195" i="1"/>
  <c r="L183" i="1"/>
  <c r="L170" i="1"/>
  <c r="L157" i="1"/>
  <c r="L145" i="1"/>
  <c r="L133" i="1"/>
  <c r="L121" i="1"/>
  <c r="L109" i="1"/>
  <c r="L97" i="1"/>
  <c r="L85" i="1"/>
  <c r="L73" i="1"/>
  <c r="L61" i="1"/>
  <c r="L49" i="1"/>
  <c r="L37" i="1"/>
  <c r="L25" i="1"/>
  <c r="L13" i="1"/>
  <c r="L243" i="1"/>
  <c r="L231" i="1"/>
  <c r="L218" i="1"/>
  <c r="L206" i="1"/>
  <c r="L194" i="1"/>
  <c r="L182" i="1"/>
  <c r="L169" i="1"/>
  <c r="L156" i="1"/>
  <c r="L144" i="1"/>
  <c r="L132" i="1"/>
  <c r="L120" i="1"/>
  <c r="L108" i="1"/>
  <c r="L96" i="1"/>
  <c r="L84" i="1"/>
  <c r="L72" i="1"/>
  <c r="L60" i="1"/>
  <c r="L48" i="1"/>
  <c r="L36" i="1"/>
  <c r="L24" i="1"/>
  <c r="L12" i="1"/>
  <c r="L238" i="1"/>
  <c r="L201" i="1"/>
  <c r="L176" i="1"/>
  <c r="L151" i="1"/>
  <c r="L127" i="1"/>
  <c r="L103" i="1"/>
  <c r="L79" i="1"/>
  <c r="L55" i="1"/>
  <c r="L19" i="1"/>
  <c r="L248" i="1"/>
  <c r="L235" i="1"/>
  <c r="L222" i="1"/>
  <c r="L210" i="1"/>
  <c r="L198" i="1"/>
  <c r="L186" i="1"/>
  <c r="L173" i="1"/>
  <c r="L161" i="1"/>
  <c r="L148" i="1"/>
  <c r="L136" i="1"/>
  <c r="L124" i="1"/>
  <c r="L112" i="1"/>
  <c r="L100" i="1"/>
  <c r="L88" i="1"/>
  <c r="L76" i="1"/>
  <c r="L64" i="1"/>
  <c r="L52" i="1"/>
  <c r="L40" i="1"/>
  <c r="L28" i="1"/>
  <c r="L16" i="1"/>
  <c r="L4" i="1"/>
  <c r="L246" i="1"/>
  <c r="L221" i="1"/>
  <c r="L197" i="1"/>
  <c r="L172" i="1"/>
  <c r="L147" i="1"/>
  <c r="L111" i="1"/>
  <c r="L39" i="1"/>
  <c r="L242" i="1"/>
  <c r="L230" i="1"/>
  <c r="L217" i="1"/>
  <c r="L205" i="1"/>
  <c r="L193" i="1"/>
  <c r="L181" i="1"/>
  <c r="L168" i="1"/>
  <c r="L155" i="1"/>
  <c r="L143" i="1"/>
  <c r="L131" i="1"/>
  <c r="L119" i="1"/>
  <c r="L107" i="1"/>
  <c r="L95" i="1"/>
  <c r="L83" i="1"/>
  <c r="L71" i="1"/>
  <c r="L59" i="1"/>
  <c r="L47" i="1"/>
  <c r="L35" i="1"/>
  <c r="L23" i="1"/>
  <c r="L11" i="1"/>
  <c r="L228" i="1"/>
  <c r="L203" i="1"/>
  <c r="L191" i="1"/>
  <c r="L166" i="1"/>
  <c r="L141" i="1"/>
  <c r="L117" i="1"/>
  <c r="L81" i="1"/>
  <c r="L57" i="1"/>
  <c r="L21" i="1"/>
  <c r="L227" i="1"/>
  <c r="L202" i="1"/>
  <c r="L177" i="1"/>
  <c r="L128" i="1"/>
  <c r="L250" i="1"/>
  <c r="L237" i="1"/>
  <c r="L212" i="1"/>
  <c r="L200" i="1"/>
  <c r="L188" i="1"/>
  <c r="L175" i="1"/>
  <c r="L163" i="1"/>
  <c r="L150" i="1"/>
  <c r="L138" i="1"/>
  <c r="L126" i="1"/>
  <c r="L114" i="1"/>
  <c r="L102" i="1"/>
  <c r="L90" i="1"/>
  <c r="L78" i="1"/>
  <c r="L66" i="1"/>
  <c r="L54" i="1"/>
  <c r="L42" i="1"/>
  <c r="L30" i="1"/>
  <c r="L18" i="1"/>
  <c r="L6" i="1"/>
  <c r="L249" i="1"/>
  <c r="L223" i="1"/>
  <c r="L199" i="1"/>
  <c r="L174" i="1"/>
  <c r="L149" i="1"/>
  <c r="L125" i="1"/>
  <c r="L101" i="1"/>
  <c r="L77" i="1"/>
  <c r="L53" i="1"/>
  <c r="L17" i="1"/>
  <c r="L234" i="1"/>
  <c r="L209" i="1"/>
  <c r="L185" i="1"/>
  <c r="L160" i="1"/>
  <c r="L135" i="1"/>
  <c r="L123" i="1"/>
  <c r="L99" i="1"/>
  <c r="L87" i="1"/>
  <c r="L75" i="1"/>
  <c r="L63" i="1"/>
  <c r="L51" i="1"/>
  <c r="L27" i="1"/>
  <c r="L15" i="1"/>
  <c r="L3" i="1"/>
  <c r="L241" i="1"/>
  <c r="L229" i="1"/>
  <c r="L216" i="1"/>
  <c r="L204" i="1"/>
  <c r="L192" i="1"/>
  <c r="L180" i="1"/>
  <c r="L167" i="1"/>
  <c r="L154" i="1"/>
  <c r="L142" i="1"/>
  <c r="L130" i="1"/>
  <c r="L118" i="1"/>
  <c r="L106" i="1"/>
  <c r="L94" i="1"/>
  <c r="L82" i="1"/>
  <c r="L70" i="1"/>
  <c r="L58" i="1"/>
  <c r="L46" i="1"/>
  <c r="L34" i="1"/>
  <c r="L22" i="1"/>
  <c r="L10" i="1"/>
  <c r="S8" i="1" l="1"/>
  <c r="S11" i="1"/>
  <c r="S12" i="1"/>
  <c r="S7" i="1"/>
  <c r="S10" i="1"/>
  <c r="S9" i="1"/>
  <c r="S13" i="1"/>
  <c r="S2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<sst xmlns="http://schemas.openxmlformats.org/spreadsheetml/2006/main" count="2486" uniqueCount="675">
  <si>
    <t>title</t>
  </si>
  <si>
    <t>year</t>
  </si>
  <si>
    <t>rating</t>
  </si>
  <si>
    <t>votes</t>
  </si>
  <si>
    <t>runtime</t>
  </si>
  <si>
    <t>certificate</t>
  </si>
  <si>
    <t>genre</t>
  </si>
  <si>
    <t>gross_total</t>
  </si>
  <si>
    <t>The Shawshank Redemption</t>
  </si>
  <si>
    <t>R</t>
  </si>
  <si>
    <t>Drama</t>
  </si>
  <si>
    <t>$29.33M</t>
  </si>
  <si>
    <t>The Godfather</t>
  </si>
  <si>
    <t>Crime, Drama</t>
  </si>
  <si>
    <t>$250.93M</t>
  </si>
  <si>
    <t>The Dark Knight</t>
  </si>
  <si>
    <t>PG-13</t>
  </si>
  <si>
    <t>Action, Crime, Drama</t>
  </si>
  <si>
    <t>$1008.48M</t>
  </si>
  <si>
    <t>The Godfather Part II</t>
  </si>
  <si>
    <t>$48.20M</t>
  </si>
  <si>
    <t>12 Angry Men</t>
  </si>
  <si>
    <t>Unrated</t>
  </si>
  <si>
    <t>$0.01M</t>
  </si>
  <si>
    <t>The Lord of the Rings: The Return of the King</t>
  </si>
  <si>
    <t>Adventure, Drama, Fantasy</t>
  </si>
  <si>
    <t>$1148.97M</t>
  </si>
  <si>
    <t>Schindler&amp;apos;s List</t>
  </si>
  <si>
    <t>Biography, Drama, History</t>
  </si>
  <si>
    <t>$322.16M</t>
  </si>
  <si>
    <t>The Lord of the Rings: The Fellowship of the Ring</t>
  </si>
  <si>
    <t>$897.00M</t>
  </si>
  <si>
    <t>Pulp Fiction</t>
  </si>
  <si>
    <t>$213.93M</t>
  </si>
  <si>
    <t>Il buono, il brutto, il cattivo</t>
  </si>
  <si>
    <t>Adventure, Drama, Western</t>
  </si>
  <si>
    <t>$25.27M</t>
  </si>
  <si>
    <t>The Lord of the Rings: The Two Towers</t>
  </si>
  <si>
    <t>$944.74M</t>
  </si>
  <si>
    <t>Forrest Gump</t>
  </si>
  <si>
    <t>Drama, Romance</t>
  </si>
  <si>
    <t>$678.23M</t>
  </si>
  <si>
    <t>Fight Club</t>
  </si>
  <si>
    <t>Crime, Drama, Thriller</t>
  </si>
  <si>
    <t>$101.32M</t>
  </si>
  <si>
    <t>Inception</t>
  </si>
  <si>
    <t>Action, Adventure, Sci-Fi</t>
  </si>
  <si>
    <t>$839.79M</t>
  </si>
  <si>
    <t>Star Wars: Episode V - The Empire Strikes Back</t>
  </si>
  <si>
    <t>PG</t>
  </si>
  <si>
    <t>Action, Adventure, Fantasy</t>
  </si>
  <si>
    <t>$550.02M</t>
  </si>
  <si>
    <t>The Matrix</t>
  </si>
  <si>
    <t>Action, Sci-Fi</t>
  </si>
  <si>
    <t>$473.33M</t>
  </si>
  <si>
    <t>GoodFellas</t>
  </si>
  <si>
    <t>Biography, Crime, Drama</t>
  </si>
  <si>
    <t>$47.08M</t>
  </si>
  <si>
    <t>Interstellar</t>
  </si>
  <si>
    <t>Adventure, Drama, Sci-Fi</t>
  </si>
  <si>
    <t>$773.86M</t>
  </si>
  <si>
    <t>One Flew Over the Cuckoo&amp;apos;s Nest</t>
  </si>
  <si>
    <t>$109.13M</t>
  </si>
  <si>
    <t>Se7en</t>
  </si>
  <si>
    <t>Crime, Drama, Mystery</t>
  </si>
  <si>
    <t>$329.81M</t>
  </si>
  <si>
    <t>It&amp;apos;s a Wonderful Life</t>
  </si>
  <si>
    <t>Drama, Family, Fantasy</t>
  </si>
  <si>
    <t>$11.50M</t>
  </si>
  <si>
    <t>The Silence of the Lambs</t>
  </si>
  <si>
    <t>Crime, Drama, Horror</t>
  </si>
  <si>
    <t>$272.74M</t>
  </si>
  <si>
    <t>Shichinin no samurai</t>
  </si>
  <si>
    <t>Action, Drama</t>
  </si>
  <si>
    <t>$1.09M</t>
  </si>
  <si>
    <t>Saving Private Ryan</t>
  </si>
  <si>
    <t>Drama, War</t>
  </si>
  <si>
    <t>$482.35M</t>
  </si>
  <si>
    <t>The Green Mile</t>
  </si>
  <si>
    <t>Crime, Drama, Fantasy</t>
  </si>
  <si>
    <t>$286.80M</t>
  </si>
  <si>
    <t>Cidade de Deus</t>
  </si>
  <si>
    <t>$30.69M</t>
  </si>
  <si>
    <t>La vita Ã¨ bella</t>
  </si>
  <si>
    <t>Comedy, Drama, Romance</t>
  </si>
  <si>
    <t>$230.10M</t>
  </si>
  <si>
    <t>Terminator 2: Judgment Day</t>
  </si>
  <si>
    <t>$517.78M</t>
  </si>
  <si>
    <t>Star Wars</t>
  </si>
  <si>
    <t>$775.40M</t>
  </si>
  <si>
    <t>Back to the Future</t>
  </si>
  <si>
    <t>Adventure, Comedy, Sci-Fi</t>
  </si>
  <si>
    <t>$392.98M</t>
  </si>
  <si>
    <t>Sen to Chihiro no kamikakushi</t>
  </si>
  <si>
    <t>Animation, Adventure, Family</t>
  </si>
  <si>
    <t>$360.18M</t>
  </si>
  <si>
    <t>The Pianist</t>
  </si>
  <si>
    <t>Biography, Drama, Music</t>
  </si>
  <si>
    <t>$120.10M</t>
  </si>
  <si>
    <t>Gladiator</t>
  </si>
  <si>
    <t>Action, Adventure, Drama</t>
  </si>
  <si>
    <t>$465.52M</t>
  </si>
  <si>
    <t>Gisaengchung</t>
  </si>
  <si>
    <t>Drama, Thriller</t>
  </si>
  <si>
    <t>$262.55M</t>
  </si>
  <si>
    <t>Hotaru no haka</t>
  </si>
  <si>
    <t>Animation, Drama, War</t>
  </si>
  <si>
    <t>$4.70M</t>
  </si>
  <si>
    <t>Psycho</t>
  </si>
  <si>
    <t>Drama, Horror, Mystery</t>
  </si>
  <si>
    <t>$32.27M</t>
  </si>
  <si>
    <t>The Lion King</t>
  </si>
  <si>
    <t>G</t>
  </si>
  <si>
    <t>Animation, Adventure, Drama</t>
  </si>
  <si>
    <t>$979.16M</t>
  </si>
  <si>
    <t>Seppuku</t>
  </si>
  <si>
    <t>Drama, Mystery</t>
  </si>
  <si>
    <t>$0.02M</t>
  </si>
  <si>
    <t>The Departed</t>
  </si>
  <si>
    <t>$292.10M</t>
  </si>
  <si>
    <t>Whiplash</t>
  </si>
  <si>
    <t>Drama, Music</t>
  </si>
  <si>
    <t>$50.43M</t>
  </si>
  <si>
    <t>The Prestige</t>
  </si>
  <si>
    <t>Drama, Mystery, Sci-Fi</t>
  </si>
  <si>
    <t>$109.68M</t>
  </si>
  <si>
    <t>Kill Bill: The Whole Bloody Affair</t>
  </si>
  <si>
    <t>Action, Crime, Thriller</t>
  </si>
  <si>
    <t>$6.72M</t>
  </si>
  <si>
    <t>American History X</t>
  </si>
  <si>
    <t>$23.88M</t>
  </si>
  <si>
    <t>LÃ©on</t>
  </si>
  <si>
    <t>$20.33M</t>
  </si>
  <si>
    <t>Spider-Man: Across the Spider-Verse</t>
  </si>
  <si>
    <t>Animation, Action, Adventure</t>
  </si>
  <si>
    <t>$690.82M</t>
  </si>
  <si>
    <t>Nuovo Cinema Paradiso</t>
  </si>
  <si>
    <t>$13.50M</t>
  </si>
  <si>
    <t>Casablanca</t>
  </si>
  <si>
    <t>Drama, Romance, War</t>
  </si>
  <si>
    <t>$4.74M</t>
  </si>
  <si>
    <t>Intouchables</t>
  </si>
  <si>
    <t>Comedy, Drama</t>
  </si>
  <si>
    <t>$426.59M</t>
  </si>
  <si>
    <t>The Usual Suspects</t>
  </si>
  <si>
    <t>$23.34M</t>
  </si>
  <si>
    <t>Alien</t>
  </si>
  <si>
    <t>Horror, Sci-Fi</t>
  </si>
  <si>
    <t>$109.51M</t>
  </si>
  <si>
    <t>Django Unchained</t>
  </si>
  <si>
    <t>Drama, Western</t>
  </si>
  <si>
    <t>$426.08M</t>
  </si>
  <si>
    <t>Modern Times</t>
  </si>
  <si>
    <t>$0.47M</t>
  </si>
  <si>
    <t>Rear Window</t>
  </si>
  <si>
    <t>Drama, Mystery, Thriller</t>
  </si>
  <si>
    <t>$37.92M</t>
  </si>
  <si>
    <t>C&amp;apos;era una volta il West</t>
  </si>
  <si>
    <t>$5.44M</t>
  </si>
  <si>
    <t>City Lights</t>
  </si>
  <si>
    <t>$0.06M</t>
  </si>
  <si>
    <t>Apocalypse Now</t>
  </si>
  <si>
    <t>Drama, Mystery, War</t>
  </si>
  <si>
    <t>$105.27M</t>
  </si>
  <si>
    <t>WALLÂ·E</t>
  </si>
  <si>
    <t>$527.40M</t>
  </si>
  <si>
    <t>Memento</t>
  </si>
  <si>
    <t>$40.06M</t>
  </si>
  <si>
    <t>Dune: Part Two</t>
  </si>
  <si>
    <t>$714.84M</t>
  </si>
  <si>
    <t>Raiders of the Lost Ark</t>
  </si>
  <si>
    <t>Action, Adventure</t>
  </si>
  <si>
    <t>$389.93M</t>
  </si>
  <si>
    <t>Avengers: Infinity War</t>
  </si>
  <si>
    <t>$2052.42M</t>
  </si>
  <si>
    <t>Das Leben der Anderen</t>
  </si>
  <si>
    <t>$77.67M</t>
  </si>
  <si>
    <t>Spider-Man: Into the Spider-Verse</t>
  </si>
  <si>
    <t>$394.88M</t>
  </si>
  <si>
    <t>Sunset Blvd.</t>
  </si>
  <si>
    <t>Drama, Film-Noir</t>
  </si>
  <si>
    <t>$0.34M</t>
  </si>
  <si>
    <t>Witness for the Prosecution</t>
  </si>
  <si>
    <t>Paths of Glory</t>
  </si>
  <si>
    <t>The Shining</t>
  </si>
  <si>
    <t>Drama, Horror</t>
  </si>
  <si>
    <t>$50.29M</t>
  </si>
  <si>
    <t>The Great Dictator</t>
  </si>
  <si>
    <t>Comedy, Drama, War</t>
  </si>
  <si>
    <t>$0.97M</t>
  </si>
  <si>
    <t>Inglourious Basterds</t>
  </si>
  <si>
    <t>Adventure, Drama, War</t>
  </si>
  <si>
    <t>$321.46M</t>
  </si>
  <si>
    <t>12th Fail</t>
  </si>
  <si>
    <t>Biography, Drama</t>
  </si>
  <si>
    <t>$0.14M</t>
  </si>
  <si>
    <t>Aliens</t>
  </si>
  <si>
    <t>Action, Adventure, Horror</t>
  </si>
  <si>
    <t>$131.06M</t>
  </si>
  <si>
    <t>Tengoku to jigoku</t>
  </si>
  <si>
    <t>Good Will Hunting</t>
  </si>
  <si>
    <t>$225.93M</t>
  </si>
  <si>
    <t>Avengers: Endgame</t>
  </si>
  <si>
    <t>$2799.44M</t>
  </si>
  <si>
    <t>The Dark Knight Rises</t>
  </si>
  <si>
    <t>$1085.43M</t>
  </si>
  <si>
    <t>Coco</t>
  </si>
  <si>
    <t>$823.29M</t>
  </si>
  <si>
    <t>Amadeus</t>
  </si>
  <si>
    <t>$52.27M</t>
  </si>
  <si>
    <t>Toy Story</t>
  </si>
  <si>
    <t>Animation, Adventure, Comedy</t>
  </si>
  <si>
    <t>$401.16M</t>
  </si>
  <si>
    <t>Kimi no na wa.</t>
  </si>
  <si>
    <t>Animation, Drama, Fantasy</t>
  </si>
  <si>
    <t>$405.32M</t>
  </si>
  <si>
    <t>Das Boot</t>
  </si>
  <si>
    <t>$11.49M</t>
  </si>
  <si>
    <t>Oldeuboi</t>
  </si>
  <si>
    <t>Action, Drama, Mystery</t>
  </si>
  <si>
    <t>$17.62M</t>
  </si>
  <si>
    <t>Braveheart</t>
  </si>
  <si>
    <t>Biography, Drama, War</t>
  </si>
  <si>
    <t>$213.22M</t>
  </si>
  <si>
    <t>Mononoke-hime</t>
  </si>
  <si>
    <t>Animation, Adventure, Fantasy</t>
  </si>
  <si>
    <t>$33.81M</t>
  </si>
  <si>
    <t>Dr. Strangelove or: How I Learned to Stop Worrying and Love the Bomb</t>
  </si>
  <si>
    <t>Comedy, War</t>
  </si>
  <si>
    <t>$9.67M</t>
  </si>
  <si>
    <t>3 Idiots</t>
  </si>
  <si>
    <t>$60.26M</t>
  </si>
  <si>
    <t>American Beauty</t>
  </si>
  <si>
    <t>$356.30M</t>
  </si>
  <si>
    <t>CapharnaÃ¼m</t>
  </si>
  <si>
    <t>$64.42M</t>
  </si>
  <si>
    <t>Singin&amp;apos; in the Rain</t>
  </si>
  <si>
    <t>Comedy, Musical, Romance</t>
  </si>
  <si>
    <t>$2.11M</t>
  </si>
  <si>
    <t>Joker</t>
  </si>
  <si>
    <t>$1078.96M</t>
  </si>
  <si>
    <t>C&amp;apos;era una volta in America</t>
  </si>
  <si>
    <t>$5.48M</t>
  </si>
  <si>
    <t>Idi i smotri</t>
  </si>
  <si>
    <t>Drama, Thriller, War</t>
  </si>
  <si>
    <t>$20.93M</t>
  </si>
  <si>
    <t>Star Wars: Episode VI - Return of the Jedi</t>
  </si>
  <si>
    <t>$482.47M</t>
  </si>
  <si>
    <t>Requiem for a Dream</t>
  </si>
  <si>
    <t>NC-17</t>
  </si>
  <si>
    <t>$7.39M</t>
  </si>
  <si>
    <t>Toy Story 3</t>
  </si>
  <si>
    <t>$1067.32M</t>
  </si>
  <si>
    <t>Ikiru</t>
  </si>
  <si>
    <t>$0.11M</t>
  </si>
  <si>
    <t>Jagten</t>
  </si>
  <si>
    <t>$15.89M</t>
  </si>
  <si>
    <t>Incendies</t>
  </si>
  <si>
    <t>$6.79M</t>
  </si>
  <si>
    <t>Eternal Sunshine of the Spotless Mind</t>
  </si>
  <si>
    <t>Drama, Romance, Sci-Fi</t>
  </si>
  <si>
    <t>$73.31M</t>
  </si>
  <si>
    <t>The Apartment</t>
  </si>
  <si>
    <t>$18.78M</t>
  </si>
  <si>
    <t>Lawrence of Arabia</t>
  </si>
  <si>
    <t>Adventure, Biography, Drama</t>
  </si>
  <si>
    <t>$46.01M</t>
  </si>
  <si>
    <t>2001: A Space Odyssey</t>
  </si>
  <si>
    <t>Adventure, Sci-Fi</t>
  </si>
  <si>
    <t>$68.01M</t>
  </si>
  <si>
    <t>Heat</t>
  </si>
  <si>
    <t>$187.44M</t>
  </si>
  <si>
    <t>Reservoir Dogs</t>
  </si>
  <si>
    <t>Crime, Thriller</t>
  </si>
  <si>
    <t>$2.94M</t>
  </si>
  <si>
    <t>Scarface</t>
  </si>
  <si>
    <t>$66.44M</t>
  </si>
  <si>
    <t>Double Indemnity</t>
  </si>
  <si>
    <t>Crime, Drama, Film-Noir</t>
  </si>
  <si>
    <t>Up</t>
  </si>
  <si>
    <t>$735.10M</t>
  </si>
  <si>
    <t>North by Northwest</t>
  </si>
  <si>
    <t>Adventure, Drama, Mystery</t>
  </si>
  <si>
    <t>$0.21M</t>
  </si>
  <si>
    <t>Taare Zameen Par</t>
  </si>
  <si>
    <t>Drama, Family</t>
  </si>
  <si>
    <t>$21.90M</t>
  </si>
  <si>
    <t>Full Metal Jacket</t>
  </si>
  <si>
    <t>$50.88M</t>
  </si>
  <si>
    <t>M - Eine Stadt sucht einen MÃ¶rder</t>
  </si>
  <si>
    <t>Crime, Mystery, Thriller</t>
  </si>
  <si>
    <t>$0.04M</t>
  </si>
  <si>
    <t>Citizen Kane</t>
  </si>
  <si>
    <t>$1.71M</t>
  </si>
  <si>
    <t>Le fabuleux destin d&amp;apos;AmÃ©lie Poulain</t>
  </si>
  <si>
    <t>Comedy, Romance</t>
  </si>
  <si>
    <t>$175.42M</t>
  </si>
  <si>
    <t>Vertigo</t>
  </si>
  <si>
    <t>Mystery, Romance, Thriller</t>
  </si>
  <si>
    <t>$7.99M</t>
  </si>
  <si>
    <t>Jodaeiye Nader az Simin</t>
  </si>
  <si>
    <t>$22.93M</t>
  </si>
  <si>
    <t>Die Hard</t>
  </si>
  <si>
    <t>Action, Thriller</t>
  </si>
  <si>
    <t>$143.65M</t>
  </si>
  <si>
    <t>To Kill a Mockingbird</t>
  </si>
  <si>
    <t>$0.61M</t>
  </si>
  <si>
    <t>Indiana Jones and the Last Crusade</t>
  </si>
  <si>
    <t>$474.17M</t>
  </si>
  <si>
    <t>The Sting</t>
  </si>
  <si>
    <t>Comedy, Crime, Drama</t>
  </si>
  <si>
    <t>$156.01M</t>
  </si>
  <si>
    <t>A Clockwork Orange</t>
  </si>
  <si>
    <t>Crime, Sci-Fi</t>
  </si>
  <si>
    <t>$27.17M</t>
  </si>
  <si>
    <t>Metropolis</t>
  </si>
  <si>
    <t>Drama, Sci-Fi</t>
  </si>
  <si>
    <t>$1.35M</t>
  </si>
  <si>
    <t>Action, Drama, War</t>
  </si>
  <si>
    <t>$446.06M</t>
  </si>
  <si>
    <t>Snatch</t>
  </si>
  <si>
    <t>Comedy, Crime</t>
  </si>
  <si>
    <t>$83.56M</t>
  </si>
  <si>
    <t>L.A. Confidential</t>
  </si>
  <si>
    <t>$126.22M</t>
  </si>
  <si>
    <t>Der Untergang</t>
  </si>
  <si>
    <t>$92.18M</t>
  </si>
  <si>
    <t>The Wolf of Wall Street</t>
  </si>
  <si>
    <t>Biography, Comedy, Crime</t>
  </si>
  <si>
    <t>$407.04M</t>
  </si>
  <si>
    <t>Dangal</t>
  </si>
  <si>
    <t>Action, Biography, Drama</t>
  </si>
  <si>
    <t>$303.73M</t>
  </si>
  <si>
    <t>The Truman Show</t>
  </si>
  <si>
    <t>$264.12M</t>
  </si>
  <si>
    <t>Ladri di biciclette</t>
  </si>
  <si>
    <t>$0.46M</t>
  </si>
  <si>
    <t>Oppenheimer</t>
  </si>
  <si>
    <t>$975.81M</t>
  </si>
  <si>
    <t>Green Book</t>
  </si>
  <si>
    <t>Biography, Comedy, Drama</t>
  </si>
  <si>
    <t>$321.75M</t>
  </si>
  <si>
    <t>Shutter Island</t>
  </si>
  <si>
    <t>$294.98M</t>
  </si>
  <si>
    <t>Judgment at Nuremberg</t>
  </si>
  <si>
    <t>Drama, History, War</t>
  </si>
  <si>
    <t>Batman Begins</t>
  </si>
  <si>
    <t>$375.58M</t>
  </si>
  <si>
    <t>Hamilton</t>
  </si>
  <si>
    <t>$20.94M</t>
  </si>
  <si>
    <t>Per qualche dollaro in piÃ¹</t>
  </si>
  <si>
    <t>$15.00M</t>
  </si>
  <si>
    <t>Taxi Driver</t>
  </si>
  <si>
    <t>$28.98M</t>
  </si>
  <si>
    <t>Jurassic Park</t>
  </si>
  <si>
    <t>$1103.11M</t>
  </si>
  <si>
    <t>Some Like It Hot</t>
  </si>
  <si>
    <t>Comedy, Music, Romance</t>
  </si>
  <si>
    <t>There Will Be Blood</t>
  </si>
  <si>
    <t>$76.43M</t>
  </si>
  <si>
    <t>The Kid</t>
  </si>
  <si>
    <t>Comedy, Drama, Family</t>
  </si>
  <si>
    <t>$0.05M</t>
  </si>
  <si>
    <t>The Father</t>
  </si>
  <si>
    <t>$24.05M</t>
  </si>
  <si>
    <t>All About Eve</t>
  </si>
  <si>
    <t>$0.16M</t>
  </si>
  <si>
    <t>The Sixth Sense</t>
  </si>
  <si>
    <t>$672.81M</t>
  </si>
  <si>
    <t>Ran</t>
  </si>
  <si>
    <t>$4.42M</t>
  </si>
  <si>
    <t>Casino</t>
  </si>
  <si>
    <t>$116.11M</t>
  </si>
  <si>
    <t>No Country for Old Men</t>
  </si>
  <si>
    <t>$171.64M</t>
  </si>
  <si>
    <t>The Thing</t>
  </si>
  <si>
    <t>Horror, Mystery, Sci-Fi</t>
  </si>
  <si>
    <t>$20.87M</t>
  </si>
  <si>
    <t>Top Gun: Maverick</t>
  </si>
  <si>
    <t>$1495.70M</t>
  </si>
  <si>
    <t>Prisoners</t>
  </si>
  <si>
    <t>$122.13M</t>
  </si>
  <si>
    <t>Kill Bill: Vol. 1</t>
  </si>
  <si>
    <t>$180.91M</t>
  </si>
  <si>
    <t>El laberinto del fauno</t>
  </si>
  <si>
    <t>Drama, Fantasy, War</t>
  </si>
  <si>
    <t>$83.86M</t>
  </si>
  <si>
    <t>Unforgiven</t>
  </si>
  <si>
    <t>$159.17M</t>
  </si>
  <si>
    <t>A Beautiful Mind</t>
  </si>
  <si>
    <t>Biography, Drama, Mystery</t>
  </si>
  <si>
    <t>$316.79M</t>
  </si>
  <si>
    <t>The Treasure of the Sierra Madre</t>
  </si>
  <si>
    <t>$5.01M</t>
  </si>
  <si>
    <t>Hauru no ugoku shiro</t>
  </si>
  <si>
    <t>$243.39M</t>
  </si>
  <si>
    <t>Finding Nemo</t>
  </si>
  <si>
    <t>$941.64M</t>
  </si>
  <si>
    <t>Klaus</t>
  </si>
  <si>
    <t>YÃ´jinbÃ´</t>
  </si>
  <si>
    <t>Action, Drama, Thriller</t>
  </si>
  <si>
    <t>$0.07M</t>
  </si>
  <si>
    <t>The Great Escape</t>
  </si>
  <si>
    <t>Adventure, Drama, Thriller</t>
  </si>
  <si>
    <t>$0.23M</t>
  </si>
  <si>
    <t>The Elephant Man</t>
  </si>
  <si>
    <t>$26.08M</t>
  </si>
  <si>
    <t>Monty Python and the Holy Grail</t>
  </si>
  <si>
    <t>Adventure, Comedy, Fantasy</t>
  </si>
  <si>
    <t>Dial M for Murder</t>
  </si>
  <si>
    <t>La meglio gioventÃ¹</t>
  </si>
  <si>
    <t>$2.80M</t>
  </si>
  <si>
    <t>GekijÃ´-ban Kimetsu no Yaiba Mugen JÃ´-hen</t>
  </si>
  <si>
    <t>$740.85M</t>
  </si>
  <si>
    <t>El secreto de sus ojos</t>
  </si>
  <si>
    <t>Drama, Mystery, Romance</t>
  </si>
  <si>
    <t>$35.08M</t>
  </si>
  <si>
    <t>Gone with the Wind</t>
  </si>
  <si>
    <t>$402.38M</t>
  </si>
  <si>
    <t>Chinatown</t>
  </si>
  <si>
    <t>$29.23M</t>
  </si>
  <si>
    <t>Lock, Stock and Two Smoking Barrels</t>
  </si>
  <si>
    <t>$3.75M</t>
  </si>
  <si>
    <t>V for Vendetta</t>
  </si>
  <si>
    <t>Action, Drama, Sci-Fi</t>
  </si>
  <si>
    <t>$134.69M</t>
  </si>
  <si>
    <t>Catch Me If You Can</t>
  </si>
  <si>
    <t>$352.11M</t>
  </si>
  <si>
    <t>Inside Out</t>
  </si>
  <si>
    <t>$859.08M</t>
  </si>
  <si>
    <t>RashÃ´mon</t>
  </si>
  <si>
    <t>Three Billboards Outside Ebbing, Missouri</t>
  </si>
  <si>
    <t>$162.73M</t>
  </si>
  <si>
    <t>Trainspotting</t>
  </si>
  <si>
    <t>$16.99M</t>
  </si>
  <si>
    <t>The Bridge on the River Kwai</t>
  </si>
  <si>
    <t>$27.20M</t>
  </si>
  <si>
    <t>Harry Potter and the Deathly Hallows: Part 2</t>
  </si>
  <si>
    <t>Adventure, Family, Fantasy</t>
  </si>
  <si>
    <t>$1342.94M</t>
  </si>
  <si>
    <t>Dead Poets Society</t>
  </si>
  <si>
    <t>$235.86M</t>
  </si>
  <si>
    <t>Hababam Sinifi: Sinifta Kaldi</t>
  </si>
  <si>
    <t>Comedy</t>
  </si>
  <si>
    <t>The Wild Robot</t>
  </si>
  <si>
    <t>$334.54M</t>
  </si>
  <si>
    <t>Warrior</t>
  </si>
  <si>
    <t>Action, Drama, Sport</t>
  </si>
  <si>
    <t>$23.31M</t>
  </si>
  <si>
    <t>Fargo</t>
  </si>
  <si>
    <t>$60.61M</t>
  </si>
  <si>
    <t>Barry Lyndon</t>
  </si>
  <si>
    <t>$0.58M</t>
  </si>
  <si>
    <t>Raging Bull</t>
  </si>
  <si>
    <t>Biography, Drama, Sport</t>
  </si>
  <si>
    <t>$23.41M</t>
  </si>
  <si>
    <t>Ben-Hur</t>
  </si>
  <si>
    <t>Adventure, Drama</t>
  </si>
  <si>
    <t>$74.44M</t>
  </si>
  <si>
    <t>Million Dollar Baby</t>
  </si>
  <si>
    <t>Drama, Sport</t>
  </si>
  <si>
    <t>$216.76M</t>
  </si>
  <si>
    <t>Mad Max: Fury Road</t>
  </si>
  <si>
    <t>$380.46M</t>
  </si>
  <si>
    <t>Bacheha-ye aseman</t>
  </si>
  <si>
    <t>Drama, Family, Sport</t>
  </si>
  <si>
    <t>$0.93M</t>
  </si>
  <si>
    <t>Hacksaw Ridge</t>
  </si>
  <si>
    <t>$180.56M</t>
  </si>
  <si>
    <t>Tonari no Totoro</t>
  </si>
  <si>
    <t>$31.04M</t>
  </si>
  <si>
    <t>Gran Torino</t>
  </si>
  <si>
    <t>$269.96M</t>
  </si>
  <si>
    <t>12 Years a Slave</t>
  </si>
  <si>
    <t>$187.73M</t>
  </si>
  <si>
    <t>Ratatouille</t>
  </si>
  <si>
    <t>$623.74M</t>
  </si>
  <si>
    <t>The Grand Budapest Hotel</t>
  </si>
  <si>
    <t>$174.57M</t>
  </si>
  <si>
    <t>Before Sunrise</t>
  </si>
  <si>
    <t>$6.58M</t>
  </si>
  <si>
    <t>Salinui chueok</t>
  </si>
  <si>
    <t>$1.21M</t>
  </si>
  <si>
    <t>Blade Runner</t>
  </si>
  <si>
    <t>$41.80M</t>
  </si>
  <si>
    <t>How to Train Your Dragon</t>
  </si>
  <si>
    <t>$494.88M</t>
  </si>
  <si>
    <t>Spider-Man: No Way Home</t>
  </si>
  <si>
    <t>$1921.43M</t>
  </si>
  <si>
    <t>Gone Girl</t>
  </si>
  <si>
    <t>$370.89M</t>
  </si>
  <si>
    <t>Monsters, Inc.</t>
  </si>
  <si>
    <t>$579.77M</t>
  </si>
  <si>
    <t>Jaws</t>
  </si>
  <si>
    <t>Adventure, Horror, Thriller</t>
  </si>
  <si>
    <t>$490.74M</t>
  </si>
  <si>
    <t>In the Name of the Father</t>
  </si>
  <si>
    <t>$65.80M</t>
  </si>
  <si>
    <t>Ford v Ferrari</t>
  </si>
  <si>
    <t>$226.30M</t>
  </si>
  <si>
    <t>Relatos salvajes</t>
  </si>
  <si>
    <t>Comedy, Drama, Thriller</t>
  </si>
  <si>
    <t>$31.48M</t>
  </si>
  <si>
    <t>The Gold Rush</t>
  </si>
  <si>
    <t>Adventure, Comedy, Drama</t>
  </si>
  <si>
    <t>$0.08M</t>
  </si>
  <si>
    <t>Sherlock Jr.</t>
  </si>
  <si>
    <t>Action, Comedy, Romance</t>
  </si>
  <si>
    <t>$0.00M</t>
  </si>
  <si>
    <t>Mary and Max.</t>
  </si>
  <si>
    <t>Animation, Comedy, Drama</t>
  </si>
  <si>
    <t>$1.74M</t>
  </si>
  <si>
    <t>The Deer Hunter</t>
  </si>
  <si>
    <t>$49.08M</t>
  </si>
  <si>
    <t>Le salaire de la peur</t>
  </si>
  <si>
    <t>The General</t>
  </si>
  <si>
    <t>Action, Adventure, Comedy</t>
  </si>
  <si>
    <t>Logan</t>
  </si>
  <si>
    <t>$619.18M</t>
  </si>
  <si>
    <t>Rocky</t>
  </si>
  <si>
    <t>$117.25M</t>
  </si>
  <si>
    <t>Mr. Smith Goes to Washington</t>
  </si>
  <si>
    <t>$0.15M</t>
  </si>
  <si>
    <t>TÃ´kyÃ´ monogatari</t>
  </si>
  <si>
    <t>$0.09M</t>
  </si>
  <si>
    <t>On the Waterfront</t>
  </si>
  <si>
    <t>Pirates of the Caribbean: The Curse of the Black Pearl</t>
  </si>
  <si>
    <t>$654.26M</t>
  </si>
  <si>
    <t>SmultronstÃ¤llet</t>
  </si>
  <si>
    <t>$0.10M</t>
  </si>
  <si>
    <t>Spotlight</t>
  </si>
  <si>
    <t>$98.69M</t>
  </si>
  <si>
    <t>Koe no katachi</t>
  </si>
  <si>
    <t>Animation, Drama</t>
  </si>
  <si>
    <t>$30.82M</t>
  </si>
  <si>
    <t>La haine</t>
  </si>
  <si>
    <t>$0.76M</t>
  </si>
  <si>
    <t>The Terminator</t>
  </si>
  <si>
    <t>$78.37M</t>
  </si>
  <si>
    <t>Maharaja</t>
  </si>
  <si>
    <t>$0.98M</t>
  </si>
  <si>
    <t>The Third Man</t>
  </si>
  <si>
    <t>Drama, Film-Noir, Mystery</t>
  </si>
  <si>
    <t>$1.43M</t>
  </si>
  <si>
    <t>The Sound of Music</t>
  </si>
  <si>
    <t>Biography, Drama, Family</t>
  </si>
  <si>
    <t>$161.51M</t>
  </si>
  <si>
    <t>Jai Bhim</t>
  </si>
  <si>
    <t>The Big Lebowski</t>
  </si>
  <si>
    <t>$48.26M</t>
  </si>
  <si>
    <t>The Best Years of Our Lives</t>
  </si>
  <si>
    <t>$23.67M</t>
  </si>
  <si>
    <t>Det sjunde inseglet</t>
  </si>
  <si>
    <t>Drama, Fantasy</t>
  </si>
  <si>
    <t>Before Sunset</t>
  </si>
  <si>
    <t>$16.51M</t>
  </si>
  <si>
    <t>Room</t>
  </si>
  <si>
    <t>$35.40M</t>
  </si>
  <si>
    <t>Hotel Rwanda</t>
  </si>
  <si>
    <t>$33.88M</t>
  </si>
  <si>
    <t>GekijÃ´-ban ChensÃ´ Man Reze-hen</t>
  </si>
  <si>
    <t>$163.06M</t>
  </si>
  <si>
    <t>The Incredibles</t>
  </si>
  <si>
    <t>$631.69M</t>
  </si>
  <si>
    <t>Platoon</t>
  </si>
  <si>
    <t>$138.55M</t>
  </si>
  <si>
    <t>Hachi: A Dog&amp;apos;s Tale</t>
  </si>
  <si>
    <t>$46.75M</t>
  </si>
  <si>
    <t>The Exorcist</t>
  </si>
  <si>
    <t>Horror</t>
  </si>
  <si>
    <t>$430.87M</t>
  </si>
  <si>
    <t>Rush</t>
  </si>
  <si>
    <t>$93.33M</t>
  </si>
  <si>
    <t>The Iron Giant</t>
  </si>
  <si>
    <t>The Wizard of Oz</t>
  </si>
  <si>
    <t>$25.64M</t>
  </si>
  <si>
    <t>Stand by Me</t>
  </si>
  <si>
    <t>$53.53M</t>
  </si>
  <si>
    <t>La passion de Jeanne d&amp;apos;Arc</t>
  </si>
  <si>
    <t>Babam ve Oglum</t>
  </si>
  <si>
    <t>$18.61M</t>
  </si>
  <si>
    <t>La battaglia di Algeri</t>
  </si>
  <si>
    <t>$0.96M</t>
  </si>
  <si>
    <t>Ah-ga-ssi</t>
  </si>
  <si>
    <t>Drama, Romance, Thriller</t>
  </si>
  <si>
    <t>$37.96M</t>
  </si>
  <si>
    <t>Network</t>
  </si>
  <si>
    <t>$23.70M</t>
  </si>
  <si>
    <t>Drishyam</t>
  </si>
  <si>
    <t>The Grapes of Wrath</t>
  </si>
  <si>
    <t>To Be or Not to Be</t>
  </si>
  <si>
    <t>Comedy, Romance, War</t>
  </si>
  <si>
    <t>Gangs of Wasseypur</t>
  </si>
  <si>
    <t>Action, Comedy, Crime</t>
  </si>
  <si>
    <t>$4.38M</t>
  </si>
  <si>
    <t>HÃ¶stsonaten</t>
  </si>
  <si>
    <t xml:space="preserve">feature </t>
  </si>
  <si>
    <t xml:space="preserve">CONTINUOUS </t>
  </si>
  <si>
    <t>gross income</t>
  </si>
  <si>
    <t>count</t>
  </si>
  <si>
    <t>%missing</t>
  </si>
  <si>
    <t>card</t>
  </si>
  <si>
    <t>min</t>
  </si>
  <si>
    <t>1st qrt</t>
  </si>
  <si>
    <t>mean</t>
  </si>
  <si>
    <t xml:space="preserve">median </t>
  </si>
  <si>
    <t>3rd qrt</t>
  </si>
  <si>
    <t>max</t>
  </si>
  <si>
    <t>std dev</t>
  </si>
  <si>
    <t>CATEGORICAL</t>
  </si>
  <si>
    <t>gross_num</t>
  </si>
  <si>
    <t>Feature</t>
  </si>
  <si>
    <t>mode</t>
  </si>
  <si>
    <t>mode freq</t>
  </si>
  <si>
    <t>mode %</t>
  </si>
  <si>
    <t>2nd mode</t>
  </si>
  <si>
    <t>2nd mode freq</t>
  </si>
  <si>
    <t>2nd mode %</t>
  </si>
  <si>
    <t>N/A</t>
  </si>
  <si>
    <t>gross income num</t>
  </si>
  <si>
    <t>edited</t>
  </si>
  <si>
    <t xml:space="preserve">problems noticed </t>
  </si>
  <si>
    <t>gross total missing values</t>
  </si>
  <si>
    <t>gross total M $ symbols</t>
  </si>
  <si>
    <t>gross total numbers are text</t>
  </si>
  <si>
    <t>certificate "Unrated" as lack of info</t>
  </si>
  <si>
    <t>genre multiple genras</t>
  </si>
  <si>
    <t xml:space="preserve">title unusual name last movie </t>
  </si>
  <si>
    <t xml:space="preserve">unrated </t>
  </si>
  <si>
    <t xml:space="preserve">certificate </t>
  </si>
  <si>
    <t xml:space="preserve">genre </t>
  </si>
  <si>
    <t xml:space="preserve">count </t>
  </si>
  <si>
    <t>Crime</t>
  </si>
  <si>
    <t>Action</t>
  </si>
  <si>
    <t>Adventure</t>
  </si>
  <si>
    <t>Biography</t>
  </si>
  <si>
    <t>Animation</t>
  </si>
  <si>
    <t>Mystery</t>
  </si>
  <si>
    <t>drama</t>
  </si>
  <si>
    <t>crime</t>
  </si>
  <si>
    <t xml:space="preserve">action </t>
  </si>
  <si>
    <t xml:space="preserve">adventure </t>
  </si>
  <si>
    <t>biography</t>
  </si>
  <si>
    <t xml:space="preserve">comedy </t>
  </si>
  <si>
    <t xml:space="preserve">animation </t>
  </si>
  <si>
    <t>horror</t>
  </si>
  <si>
    <t>mystery</t>
  </si>
  <si>
    <t xml:space="preserve">romance </t>
  </si>
  <si>
    <t>sci fi</t>
  </si>
  <si>
    <t xml:space="preserve">famiy </t>
  </si>
  <si>
    <t xml:space="preserve">war </t>
  </si>
  <si>
    <t xml:space="preserve">thriller </t>
  </si>
  <si>
    <t>music</t>
  </si>
  <si>
    <t>western</t>
  </si>
  <si>
    <t>film-noir</t>
  </si>
  <si>
    <t xml:space="preserve">musical </t>
  </si>
  <si>
    <t>sport</t>
  </si>
  <si>
    <t xml:space="preserve">history </t>
  </si>
  <si>
    <t>fantasy</t>
  </si>
  <si>
    <t>Family</t>
  </si>
  <si>
    <t>Fantasy</t>
  </si>
  <si>
    <t>History</t>
  </si>
  <si>
    <t>Western</t>
  </si>
  <si>
    <t>Romance</t>
  </si>
  <si>
    <t>Thriller</t>
  </si>
  <si>
    <t>Sci-Fi</t>
  </si>
  <si>
    <t>War</t>
  </si>
  <si>
    <t>Music</t>
  </si>
  <si>
    <t>Film-Noir</t>
  </si>
  <si>
    <t>Musical</t>
  </si>
  <si>
    <t>Sport</t>
  </si>
  <si>
    <t>gross_total_text</t>
  </si>
  <si>
    <t xml:space="preserve">year </t>
  </si>
  <si>
    <t>sum check</t>
  </si>
  <si>
    <t>helper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</si>
</sst>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3" formatCode="_-* #,##0_-;\-* #,##0_-;_-* &quot;-&quot;??_-;_-@_-"/>
    <numFmt numFmtId="17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">
    <xf numFmtId="0" fontId="0" fillId="0" borderId="0" xfId="0"/>
    <xf numFmtId="3" fontId="0" fillId="0" borderId="0" xfId="0" applyNumberFormat="1"/>
    <xf numFmtId="2" fontId="0" fillId="0" borderId="0" xfId="0" applyNumberFormat="1"/>
    <xf numFmtId="0" fontId="3" fillId="3" borderId="0" xfId="4"/>
    <xf numFmtId="173" fontId="0" fillId="0" borderId="0" xfId="1" applyNumberFormat="1" applyFont="1"/>
    <xf numFmtId="0" fontId="2" fillId="2" borderId="0" xfId="3"/>
    <xf numFmtId="2" fontId="2" fillId="2" borderId="0" xfId="3" applyNumberFormat="1"/>
    <xf numFmtId="174" fontId="0" fillId="0" borderId="0" xfId="2" applyNumberFormat="1" applyFont="1"/>
    <xf numFmtId="174" fontId="2" fillId="2" borderId="0" xfId="2" applyNumberFormat="1" applyFont="1" applyFill="1"/>
  </cellXfs>
  <cellStyles count="5">
    <cellStyle name="Bad" xfId="4" builtinId="27"/>
    <cellStyle name="Comma" xfId="1" builtinId="3"/>
    <cellStyle name="Good" xfId="3" builtinId="2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7342B-1AAF-497F-891D-D758D71F0AF2}">
  <dimension ref="A1:H251"/>
  <sheetViews>
    <sheetView workbookViewId="0">
      <selection activeCell="K24" sqref="K24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1994</v>
      </c>
      <c r="C2">
        <v>9.3000000000000007</v>
      </c>
      <c r="D2" s="1">
        <v>3168010</v>
      </c>
      <c r="E2">
        <v>142</v>
      </c>
      <c r="F2" t="s">
        <v>9</v>
      </c>
      <c r="G2" t="s">
        <v>10</v>
      </c>
      <c r="H2" t="s">
        <v>11</v>
      </c>
    </row>
    <row r="3" spans="1:8" x14ac:dyDescent="0.35">
      <c r="A3" t="s">
        <v>12</v>
      </c>
      <c r="B3">
        <v>1972</v>
      </c>
      <c r="C3">
        <v>9.1999999999999993</v>
      </c>
      <c r="D3" s="1">
        <v>2212884</v>
      </c>
      <c r="E3">
        <v>175</v>
      </c>
      <c r="F3" t="s">
        <v>9</v>
      </c>
      <c r="G3" t="s">
        <v>13</v>
      </c>
      <c r="H3" t="s">
        <v>14</v>
      </c>
    </row>
    <row r="4" spans="1:8" x14ac:dyDescent="0.35">
      <c r="A4" t="s">
        <v>15</v>
      </c>
      <c r="B4">
        <v>2008</v>
      </c>
      <c r="C4">
        <v>9.1</v>
      </c>
      <c r="D4" s="1">
        <v>3145646</v>
      </c>
      <c r="E4">
        <v>152</v>
      </c>
      <c r="F4" t="s">
        <v>16</v>
      </c>
      <c r="G4" t="s">
        <v>17</v>
      </c>
      <c r="H4" t="s">
        <v>18</v>
      </c>
    </row>
    <row r="5" spans="1:8" x14ac:dyDescent="0.35">
      <c r="A5" t="s">
        <v>19</v>
      </c>
      <c r="B5">
        <v>1974</v>
      </c>
      <c r="C5">
        <v>9</v>
      </c>
      <c r="D5" s="1">
        <v>1486878</v>
      </c>
      <c r="E5">
        <v>202</v>
      </c>
      <c r="F5" t="s">
        <v>9</v>
      </c>
      <c r="G5" t="s">
        <v>13</v>
      </c>
      <c r="H5" t="s">
        <v>20</v>
      </c>
    </row>
    <row r="6" spans="1:8" x14ac:dyDescent="0.35">
      <c r="A6" t="s">
        <v>21</v>
      </c>
      <c r="B6">
        <v>1957</v>
      </c>
      <c r="C6">
        <v>9</v>
      </c>
      <c r="D6" s="1">
        <v>977359</v>
      </c>
      <c r="E6">
        <v>96</v>
      </c>
      <c r="F6" t="s">
        <v>22</v>
      </c>
      <c r="G6" t="s">
        <v>13</v>
      </c>
      <c r="H6" t="s">
        <v>23</v>
      </c>
    </row>
    <row r="7" spans="1:8" x14ac:dyDescent="0.35">
      <c r="A7" t="s">
        <v>24</v>
      </c>
      <c r="B7">
        <v>2003</v>
      </c>
      <c r="C7">
        <v>9</v>
      </c>
      <c r="D7" s="1">
        <v>2152126</v>
      </c>
      <c r="E7">
        <v>201</v>
      </c>
      <c r="F7" t="s">
        <v>16</v>
      </c>
      <c r="G7" t="s">
        <v>25</v>
      </c>
      <c r="H7" t="s">
        <v>26</v>
      </c>
    </row>
    <row r="8" spans="1:8" x14ac:dyDescent="0.35">
      <c r="A8" t="s">
        <v>27</v>
      </c>
      <c r="B8">
        <v>1994</v>
      </c>
      <c r="C8">
        <v>9</v>
      </c>
      <c r="D8" s="1">
        <v>1577558</v>
      </c>
      <c r="E8">
        <v>195</v>
      </c>
      <c r="F8" t="s">
        <v>9</v>
      </c>
      <c r="G8" t="s">
        <v>28</v>
      </c>
      <c r="H8" t="s">
        <v>29</v>
      </c>
    </row>
    <row r="9" spans="1:8" x14ac:dyDescent="0.35">
      <c r="A9" t="s">
        <v>30</v>
      </c>
      <c r="B9">
        <v>2001</v>
      </c>
      <c r="C9">
        <v>8.9</v>
      </c>
      <c r="D9" s="1">
        <v>2193491</v>
      </c>
      <c r="E9">
        <v>178</v>
      </c>
      <c r="F9" t="s">
        <v>16</v>
      </c>
      <c r="G9" t="s">
        <v>25</v>
      </c>
      <c r="H9" t="s">
        <v>31</v>
      </c>
    </row>
    <row r="10" spans="1:8" x14ac:dyDescent="0.35">
      <c r="A10" t="s">
        <v>32</v>
      </c>
      <c r="B10">
        <v>1994</v>
      </c>
      <c r="C10">
        <v>8.8000000000000007</v>
      </c>
      <c r="D10" s="1">
        <v>2421067</v>
      </c>
      <c r="E10">
        <v>154</v>
      </c>
      <c r="F10" t="s">
        <v>9</v>
      </c>
      <c r="G10" t="s">
        <v>13</v>
      </c>
      <c r="H10" t="s">
        <v>33</v>
      </c>
    </row>
    <row r="11" spans="1:8" x14ac:dyDescent="0.35">
      <c r="A11" t="s">
        <v>34</v>
      </c>
      <c r="B11">
        <v>1967</v>
      </c>
      <c r="C11">
        <v>8.8000000000000007</v>
      </c>
      <c r="D11" s="1">
        <v>887227</v>
      </c>
      <c r="E11">
        <v>178</v>
      </c>
      <c r="F11" t="s">
        <v>9</v>
      </c>
      <c r="G11" t="s">
        <v>35</v>
      </c>
      <c r="H11" t="s">
        <v>36</v>
      </c>
    </row>
    <row r="12" spans="1:8" x14ac:dyDescent="0.35">
      <c r="A12" t="s">
        <v>37</v>
      </c>
      <c r="B12">
        <v>2002</v>
      </c>
      <c r="C12">
        <v>8.8000000000000007</v>
      </c>
      <c r="D12" s="1">
        <v>1945026</v>
      </c>
      <c r="E12">
        <v>179</v>
      </c>
      <c r="F12" t="s">
        <v>16</v>
      </c>
      <c r="G12" t="s">
        <v>25</v>
      </c>
      <c r="H12" t="s">
        <v>38</v>
      </c>
    </row>
    <row r="13" spans="1:8" x14ac:dyDescent="0.35">
      <c r="A13" t="s">
        <v>39</v>
      </c>
      <c r="B13">
        <v>1994</v>
      </c>
      <c r="C13">
        <v>8.8000000000000007</v>
      </c>
      <c r="D13" s="1">
        <v>2479948</v>
      </c>
      <c r="E13">
        <v>142</v>
      </c>
      <c r="F13" t="s">
        <v>16</v>
      </c>
      <c r="G13" t="s">
        <v>40</v>
      </c>
      <c r="H13" t="s">
        <v>41</v>
      </c>
    </row>
    <row r="14" spans="1:8" x14ac:dyDescent="0.35">
      <c r="A14" t="s">
        <v>42</v>
      </c>
      <c r="B14">
        <v>1999</v>
      </c>
      <c r="C14">
        <v>8.8000000000000007</v>
      </c>
      <c r="D14" s="1">
        <v>2585212</v>
      </c>
      <c r="E14">
        <v>139</v>
      </c>
      <c r="F14" t="s">
        <v>9</v>
      </c>
      <c r="G14" t="s">
        <v>43</v>
      </c>
      <c r="H14" t="s">
        <v>44</v>
      </c>
    </row>
    <row r="15" spans="1:8" x14ac:dyDescent="0.35">
      <c r="A15" t="s">
        <v>45</v>
      </c>
      <c r="B15">
        <v>2010</v>
      </c>
      <c r="C15">
        <v>8.8000000000000007</v>
      </c>
      <c r="D15" s="1">
        <v>2796318</v>
      </c>
      <c r="E15">
        <v>148</v>
      </c>
      <c r="F15" t="s">
        <v>16</v>
      </c>
      <c r="G15" t="s">
        <v>46</v>
      </c>
      <c r="H15" t="s">
        <v>47</v>
      </c>
    </row>
    <row r="16" spans="1:8" x14ac:dyDescent="0.35">
      <c r="A16" t="s">
        <v>48</v>
      </c>
      <c r="B16">
        <v>1980</v>
      </c>
      <c r="C16">
        <v>8.6999999999999993</v>
      </c>
      <c r="D16" s="1">
        <v>1496595</v>
      </c>
      <c r="E16">
        <v>124</v>
      </c>
      <c r="F16" t="s">
        <v>49</v>
      </c>
      <c r="G16" t="s">
        <v>50</v>
      </c>
      <c r="H16" t="s">
        <v>51</v>
      </c>
    </row>
    <row r="17" spans="1:8" x14ac:dyDescent="0.35">
      <c r="A17" t="s">
        <v>52</v>
      </c>
      <c r="B17">
        <v>1999</v>
      </c>
      <c r="C17">
        <v>8.6999999999999993</v>
      </c>
      <c r="D17" s="1">
        <v>2233701</v>
      </c>
      <c r="E17">
        <v>136</v>
      </c>
      <c r="F17" t="s">
        <v>9</v>
      </c>
      <c r="G17" t="s">
        <v>53</v>
      </c>
      <c r="H17" t="s">
        <v>54</v>
      </c>
    </row>
    <row r="18" spans="1:8" x14ac:dyDescent="0.35">
      <c r="A18" t="s">
        <v>55</v>
      </c>
      <c r="B18">
        <v>1990</v>
      </c>
      <c r="C18">
        <v>8.6999999999999993</v>
      </c>
      <c r="D18" s="1">
        <v>1382099</v>
      </c>
      <c r="E18">
        <v>145</v>
      </c>
      <c r="F18" t="s">
        <v>9</v>
      </c>
      <c r="G18" t="s">
        <v>56</v>
      </c>
      <c r="H18" t="s">
        <v>57</v>
      </c>
    </row>
    <row r="19" spans="1:8" x14ac:dyDescent="0.35">
      <c r="A19" t="s">
        <v>58</v>
      </c>
      <c r="B19">
        <v>2014</v>
      </c>
      <c r="C19">
        <v>8.6999999999999993</v>
      </c>
      <c r="D19" s="1">
        <v>2496091</v>
      </c>
      <c r="E19">
        <v>169</v>
      </c>
      <c r="F19" t="s">
        <v>16</v>
      </c>
      <c r="G19" t="s">
        <v>59</v>
      </c>
      <c r="H19" t="s">
        <v>60</v>
      </c>
    </row>
    <row r="20" spans="1:8" x14ac:dyDescent="0.35">
      <c r="A20" t="s">
        <v>61</v>
      </c>
      <c r="B20">
        <v>1975</v>
      </c>
      <c r="C20">
        <v>8.6</v>
      </c>
      <c r="D20" s="1">
        <v>1152486</v>
      </c>
      <c r="E20">
        <v>133</v>
      </c>
      <c r="F20" t="s">
        <v>9</v>
      </c>
      <c r="G20" t="s">
        <v>10</v>
      </c>
      <c r="H20" t="s">
        <v>62</v>
      </c>
    </row>
    <row r="21" spans="1:8" x14ac:dyDescent="0.35">
      <c r="A21" t="s">
        <v>63</v>
      </c>
      <c r="B21">
        <v>1995</v>
      </c>
      <c r="C21">
        <v>8.6</v>
      </c>
      <c r="D21" s="1">
        <v>2006146</v>
      </c>
      <c r="E21">
        <v>127</v>
      </c>
      <c r="F21" t="s">
        <v>9</v>
      </c>
      <c r="G21" t="s">
        <v>64</v>
      </c>
      <c r="H21" t="s">
        <v>65</v>
      </c>
    </row>
    <row r="22" spans="1:8" x14ac:dyDescent="0.35">
      <c r="A22" t="s">
        <v>66</v>
      </c>
      <c r="B22">
        <v>1947</v>
      </c>
      <c r="C22">
        <v>8.6</v>
      </c>
      <c r="D22" s="1">
        <v>552664</v>
      </c>
      <c r="E22">
        <v>130</v>
      </c>
      <c r="F22" t="s">
        <v>49</v>
      </c>
      <c r="G22" t="s">
        <v>67</v>
      </c>
      <c r="H22" t="s">
        <v>68</v>
      </c>
    </row>
    <row r="23" spans="1:8" x14ac:dyDescent="0.35">
      <c r="A23" t="s">
        <v>69</v>
      </c>
      <c r="B23">
        <v>1991</v>
      </c>
      <c r="C23">
        <v>8.6</v>
      </c>
      <c r="D23" s="1">
        <v>1711212</v>
      </c>
      <c r="E23">
        <v>118</v>
      </c>
      <c r="F23" t="s">
        <v>9</v>
      </c>
      <c r="G23" t="s">
        <v>70</v>
      </c>
      <c r="H23" t="s">
        <v>71</v>
      </c>
    </row>
    <row r="24" spans="1:8" x14ac:dyDescent="0.35">
      <c r="A24" t="s">
        <v>72</v>
      </c>
      <c r="B24">
        <v>1956</v>
      </c>
      <c r="C24">
        <v>8.6</v>
      </c>
      <c r="D24" s="1">
        <v>400179</v>
      </c>
      <c r="E24">
        <v>207</v>
      </c>
      <c r="F24" t="s">
        <v>22</v>
      </c>
      <c r="G24" t="s">
        <v>73</v>
      </c>
      <c r="H24" t="s">
        <v>74</v>
      </c>
    </row>
    <row r="25" spans="1:8" x14ac:dyDescent="0.35">
      <c r="A25" t="s">
        <v>75</v>
      </c>
      <c r="B25">
        <v>1998</v>
      </c>
      <c r="C25">
        <v>8.6</v>
      </c>
      <c r="D25" s="1">
        <v>1628543</v>
      </c>
      <c r="E25">
        <v>169</v>
      </c>
      <c r="F25" t="s">
        <v>9</v>
      </c>
      <c r="G25" t="s">
        <v>76</v>
      </c>
      <c r="H25" t="s">
        <v>77</v>
      </c>
    </row>
    <row r="26" spans="1:8" x14ac:dyDescent="0.35">
      <c r="A26" t="s">
        <v>78</v>
      </c>
      <c r="B26">
        <v>1999</v>
      </c>
      <c r="C26">
        <v>8.6</v>
      </c>
      <c r="D26" s="1">
        <v>1551508</v>
      </c>
      <c r="E26">
        <v>189</v>
      </c>
      <c r="F26" t="s">
        <v>9</v>
      </c>
      <c r="G26" t="s">
        <v>79</v>
      </c>
      <c r="H26" t="s">
        <v>80</v>
      </c>
    </row>
    <row r="27" spans="1:8" x14ac:dyDescent="0.35">
      <c r="A27" t="s">
        <v>81</v>
      </c>
      <c r="B27">
        <v>2004</v>
      </c>
      <c r="C27">
        <v>8.6</v>
      </c>
      <c r="D27" s="1">
        <v>866611</v>
      </c>
      <c r="E27">
        <v>130</v>
      </c>
      <c r="F27" t="s">
        <v>9</v>
      </c>
      <c r="G27" t="s">
        <v>13</v>
      </c>
      <c r="H27" t="s">
        <v>82</v>
      </c>
    </row>
    <row r="28" spans="1:8" x14ac:dyDescent="0.35">
      <c r="A28" t="s">
        <v>83</v>
      </c>
      <c r="B28">
        <v>1997</v>
      </c>
      <c r="C28">
        <v>8.6</v>
      </c>
      <c r="D28" s="1">
        <v>808265</v>
      </c>
      <c r="E28">
        <v>116</v>
      </c>
      <c r="F28" t="s">
        <v>16</v>
      </c>
      <c r="G28" t="s">
        <v>84</v>
      </c>
      <c r="H28" t="s">
        <v>85</v>
      </c>
    </row>
    <row r="29" spans="1:8" x14ac:dyDescent="0.35">
      <c r="A29" t="s">
        <v>86</v>
      </c>
      <c r="B29">
        <v>1991</v>
      </c>
      <c r="C29">
        <v>8.6</v>
      </c>
      <c r="D29" s="1">
        <v>1277496</v>
      </c>
      <c r="E29">
        <v>137</v>
      </c>
      <c r="F29" t="s">
        <v>9</v>
      </c>
      <c r="G29" t="s">
        <v>46</v>
      </c>
      <c r="H29" t="s">
        <v>87</v>
      </c>
    </row>
    <row r="30" spans="1:8" x14ac:dyDescent="0.35">
      <c r="A30" t="s">
        <v>88</v>
      </c>
      <c r="B30">
        <v>1977</v>
      </c>
      <c r="C30">
        <v>8.6</v>
      </c>
      <c r="D30" s="1">
        <v>1561809</v>
      </c>
      <c r="E30">
        <v>121</v>
      </c>
      <c r="F30" t="s">
        <v>49</v>
      </c>
      <c r="G30" t="s">
        <v>50</v>
      </c>
      <c r="H30" t="s">
        <v>89</v>
      </c>
    </row>
    <row r="31" spans="1:8" x14ac:dyDescent="0.35">
      <c r="A31" t="s">
        <v>90</v>
      </c>
      <c r="B31">
        <v>1985</v>
      </c>
      <c r="C31">
        <v>8.5</v>
      </c>
      <c r="D31" s="1">
        <v>1442692</v>
      </c>
      <c r="E31">
        <v>116</v>
      </c>
      <c r="F31" t="s">
        <v>49</v>
      </c>
      <c r="G31" t="s">
        <v>91</v>
      </c>
      <c r="H31" t="s">
        <v>92</v>
      </c>
    </row>
    <row r="32" spans="1:8" x14ac:dyDescent="0.35">
      <c r="A32" t="s">
        <v>93</v>
      </c>
      <c r="B32">
        <v>2003</v>
      </c>
      <c r="C32">
        <v>8.6</v>
      </c>
      <c r="D32" s="1">
        <v>959384</v>
      </c>
      <c r="E32">
        <v>124</v>
      </c>
      <c r="F32" t="s">
        <v>49</v>
      </c>
      <c r="G32" t="s">
        <v>94</v>
      </c>
      <c r="H32" t="s">
        <v>95</v>
      </c>
    </row>
    <row r="33" spans="1:8" x14ac:dyDescent="0.35">
      <c r="A33" t="s">
        <v>96</v>
      </c>
      <c r="B33">
        <v>2003</v>
      </c>
      <c r="C33">
        <v>8.5</v>
      </c>
      <c r="D33" s="1">
        <v>1006347</v>
      </c>
      <c r="E33">
        <v>150</v>
      </c>
      <c r="F33" t="s">
        <v>9</v>
      </c>
      <c r="G33" t="s">
        <v>97</v>
      </c>
      <c r="H33" t="s">
        <v>98</v>
      </c>
    </row>
    <row r="34" spans="1:8" x14ac:dyDescent="0.35">
      <c r="A34" t="s">
        <v>99</v>
      </c>
      <c r="B34">
        <v>2000</v>
      </c>
      <c r="C34">
        <v>8.5</v>
      </c>
      <c r="D34" s="1">
        <v>1837102</v>
      </c>
      <c r="E34">
        <v>155</v>
      </c>
      <c r="F34" t="s">
        <v>9</v>
      </c>
      <c r="G34" t="s">
        <v>100</v>
      </c>
      <c r="H34" t="s">
        <v>101</v>
      </c>
    </row>
    <row r="35" spans="1:8" x14ac:dyDescent="0.35">
      <c r="A35" t="s">
        <v>102</v>
      </c>
      <c r="B35">
        <v>2019</v>
      </c>
      <c r="C35">
        <v>8.5</v>
      </c>
      <c r="D35" s="1">
        <v>1150711</v>
      </c>
      <c r="E35">
        <v>132</v>
      </c>
      <c r="F35" t="s">
        <v>9</v>
      </c>
      <c r="G35" t="s">
        <v>103</v>
      </c>
      <c r="H35" t="s">
        <v>104</v>
      </c>
    </row>
    <row r="36" spans="1:8" x14ac:dyDescent="0.35">
      <c r="A36" t="s">
        <v>105</v>
      </c>
      <c r="B36">
        <v>1989</v>
      </c>
      <c r="C36">
        <v>8.5</v>
      </c>
      <c r="D36" s="1">
        <v>380478</v>
      </c>
      <c r="E36">
        <v>88</v>
      </c>
      <c r="F36" t="s">
        <v>22</v>
      </c>
      <c r="G36" t="s">
        <v>106</v>
      </c>
      <c r="H36" t="s">
        <v>107</v>
      </c>
    </row>
    <row r="37" spans="1:8" x14ac:dyDescent="0.35">
      <c r="A37" t="s">
        <v>108</v>
      </c>
      <c r="B37">
        <v>1960</v>
      </c>
      <c r="C37">
        <v>8.5</v>
      </c>
      <c r="D37" s="1">
        <v>781795</v>
      </c>
      <c r="E37">
        <v>109</v>
      </c>
      <c r="F37" t="s">
        <v>9</v>
      </c>
      <c r="G37" t="s">
        <v>109</v>
      </c>
      <c r="H37" t="s">
        <v>110</v>
      </c>
    </row>
    <row r="38" spans="1:8" x14ac:dyDescent="0.35">
      <c r="A38" t="s">
        <v>111</v>
      </c>
      <c r="B38">
        <v>1994</v>
      </c>
      <c r="C38">
        <v>8.5</v>
      </c>
      <c r="D38" s="1">
        <v>1251328</v>
      </c>
      <c r="E38">
        <v>88</v>
      </c>
      <c r="F38" t="s">
        <v>112</v>
      </c>
      <c r="G38" t="s">
        <v>113</v>
      </c>
      <c r="H38" t="s">
        <v>114</v>
      </c>
    </row>
    <row r="39" spans="1:8" x14ac:dyDescent="0.35">
      <c r="A39" t="s">
        <v>115</v>
      </c>
      <c r="B39">
        <v>1964</v>
      </c>
      <c r="C39">
        <v>8.6</v>
      </c>
      <c r="D39" s="1">
        <v>89994</v>
      </c>
      <c r="E39">
        <v>133</v>
      </c>
      <c r="F39" t="s">
        <v>22</v>
      </c>
      <c r="G39" t="s">
        <v>116</v>
      </c>
      <c r="H39" t="s">
        <v>117</v>
      </c>
    </row>
    <row r="40" spans="1:8" x14ac:dyDescent="0.35">
      <c r="A40" t="s">
        <v>118</v>
      </c>
      <c r="B40">
        <v>2006</v>
      </c>
      <c r="C40">
        <v>8.5</v>
      </c>
      <c r="D40" s="1">
        <v>1545064</v>
      </c>
      <c r="E40">
        <v>151</v>
      </c>
      <c r="F40" t="s">
        <v>9</v>
      </c>
      <c r="G40" t="s">
        <v>43</v>
      </c>
      <c r="H40" t="s">
        <v>119</v>
      </c>
    </row>
    <row r="41" spans="1:8" x14ac:dyDescent="0.35">
      <c r="A41" t="s">
        <v>120</v>
      </c>
      <c r="B41">
        <v>2014</v>
      </c>
      <c r="C41">
        <v>8.5</v>
      </c>
      <c r="D41" s="1">
        <v>1143440</v>
      </c>
      <c r="E41">
        <v>106</v>
      </c>
      <c r="F41" t="s">
        <v>9</v>
      </c>
      <c r="G41" t="s">
        <v>121</v>
      </c>
      <c r="H41" t="s">
        <v>122</v>
      </c>
    </row>
    <row r="42" spans="1:8" x14ac:dyDescent="0.35">
      <c r="A42" t="s">
        <v>123</v>
      </c>
      <c r="B42">
        <v>2006</v>
      </c>
      <c r="C42">
        <v>8.5</v>
      </c>
      <c r="D42" s="1">
        <v>1576959</v>
      </c>
      <c r="E42">
        <v>130</v>
      </c>
      <c r="F42" t="s">
        <v>16</v>
      </c>
      <c r="G42" t="s">
        <v>124</v>
      </c>
      <c r="H42" t="s">
        <v>125</v>
      </c>
    </row>
    <row r="43" spans="1:8" x14ac:dyDescent="0.35">
      <c r="A43" t="s">
        <v>126</v>
      </c>
      <c r="B43">
        <v>2025</v>
      </c>
      <c r="C43">
        <v>8.8000000000000007</v>
      </c>
      <c r="D43" s="1">
        <v>30141</v>
      </c>
      <c r="E43">
        <v>253</v>
      </c>
      <c r="F43" t="s">
        <v>22</v>
      </c>
      <c r="G43" t="s">
        <v>127</v>
      </c>
      <c r="H43" t="s">
        <v>128</v>
      </c>
    </row>
    <row r="44" spans="1:8" x14ac:dyDescent="0.35">
      <c r="A44" t="s">
        <v>129</v>
      </c>
      <c r="B44">
        <v>1998</v>
      </c>
      <c r="C44">
        <v>8.5</v>
      </c>
      <c r="D44" s="1">
        <v>1267862</v>
      </c>
      <c r="E44">
        <v>119</v>
      </c>
      <c r="F44" t="s">
        <v>9</v>
      </c>
      <c r="G44" t="s">
        <v>13</v>
      </c>
      <c r="H44" t="s">
        <v>130</v>
      </c>
    </row>
    <row r="45" spans="1:8" x14ac:dyDescent="0.35">
      <c r="A45" t="s">
        <v>131</v>
      </c>
      <c r="B45">
        <v>1994</v>
      </c>
      <c r="C45">
        <v>8.5</v>
      </c>
      <c r="D45" s="1">
        <v>1344671</v>
      </c>
      <c r="E45">
        <v>110</v>
      </c>
      <c r="F45" t="s">
        <v>9</v>
      </c>
      <c r="G45" t="s">
        <v>17</v>
      </c>
      <c r="H45" t="s">
        <v>132</v>
      </c>
    </row>
    <row r="46" spans="1:8" x14ac:dyDescent="0.35">
      <c r="A46" t="s">
        <v>133</v>
      </c>
      <c r="B46">
        <v>2023</v>
      </c>
      <c r="C46">
        <v>8.5</v>
      </c>
      <c r="D46" s="1">
        <v>513688</v>
      </c>
      <c r="E46">
        <v>140</v>
      </c>
      <c r="F46" t="s">
        <v>49</v>
      </c>
      <c r="G46" t="s">
        <v>134</v>
      </c>
      <c r="H46" t="s">
        <v>135</v>
      </c>
    </row>
    <row r="47" spans="1:8" x14ac:dyDescent="0.35">
      <c r="A47" t="s">
        <v>136</v>
      </c>
      <c r="B47">
        <v>1990</v>
      </c>
      <c r="C47">
        <v>8.5</v>
      </c>
      <c r="D47" s="1">
        <v>315853</v>
      </c>
      <c r="E47">
        <v>174</v>
      </c>
      <c r="F47" t="s">
        <v>49</v>
      </c>
      <c r="G47" t="s">
        <v>40</v>
      </c>
      <c r="H47" t="s">
        <v>137</v>
      </c>
    </row>
    <row r="48" spans="1:8" x14ac:dyDescent="0.35">
      <c r="A48" t="s">
        <v>138</v>
      </c>
      <c r="B48">
        <v>1943</v>
      </c>
      <c r="C48">
        <v>8.5</v>
      </c>
      <c r="D48" s="1">
        <v>653074</v>
      </c>
      <c r="E48">
        <v>102</v>
      </c>
      <c r="F48" t="s">
        <v>49</v>
      </c>
      <c r="G48" t="s">
        <v>139</v>
      </c>
      <c r="H48" t="s">
        <v>140</v>
      </c>
    </row>
    <row r="49" spans="1:8" x14ac:dyDescent="0.35">
      <c r="A49" t="s">
        <v>141</v>
      </c>
      <c r="B49">
        <v>2011</v>
      </c>
      <c r="C49">
        <v>8.5</v>
      </c>
      <c r="D49" s="1">
        <v>1020643</v>
      </c>
      <c r="E49">
        <v>112</v>
      </c>
      <c r="F49" t="s">
        <v>9</v>
      </c>
      <c r="G49" t="s">
        <v>142</v>
      </c>
      <c r="H49" t="s">
        <v>143</v>
      </c>
    </row>
    <row r="50" spans="1:8" x14ac:dyDescent="0.35">
      <c r="A50" t="s">
        <v>144</v>
      </c>
      <c r="B50">
        <v>1995</v>
      </c>
      <c r="C50">
        <v>8.5</v>
      </c>
      <c r="D50" s="1">
        <v>1232633</v>
      </c>
      <c r="E50">
        <v>106</v>
      </c>
      <c r="F50" t="s">
        <v>9</v>
      </c>
      <c r="G50" t="s">
        <v>64</v>
      </c>
      <c r="H50" t="s">
        <v>145</v>
      </c>
    </row>
    <row r="51" spans="1:8" x14ac:dyDescent="0.35">
      <c r="A51" t="s">
        <v>146</v>
      </c>
      <c r="B51">
        <v>1979</v>
      </c>
      <c r="C51">
        <v>8.5</v>
      </c>
      <c r="D51" s="1">
        <v>1058161</v>
      </c>
      <c r="E51">
        <v>117</v>
      </c>
      <c r="F51" t="s">
        <v>9</v>
      </c>
      <c r="G51" t="s">
        <v>147</v>
      </c>
      <c r="H51" t="s">
        <v>148</v>
      </c>
    </row>
    <row r="52" spans="1:8" x14ac:dyDescent="0.35">
      <c r="A52" t="s">
        <v>149</v>
      </c>
      <c r="B52">
        <v>2012</v>
      </c>
      <c r="C52">
        <v>8.5</v>
      </c>
      <c r="D52" s="1">
        <v>1870222</v>
      </c>
      <c r="E52">
        <v>165</v>
      </c>
      <c r="F52" t="s">
        <v>9</v>
      </c>
      <c r="G52" t="s">
        <v>150</v>
      </c>
      <c r="H52" t="s">
        <v>151</v>
      </c>
    </row>
    <row r="53" spans="1:8" x14ac:dyDescent="0.35">
      <c r="A53" t="s">
        <v>152</v>
      </c>
      <c r="B53">
        <v>1936</v>
      </c>
      <c r="C53">
        <v>8.5</v>
      </c>
      <c r="D53" s="1">
        <v>284271</v>
      </c>
      <c r="E53">
        <v>87</v>
      </c>
      <c r="F53" t="s">
        <v>112</v>
      </c>
      <c r="G53" t="s">
        <v>84</v>
      </c>
      <c r="H53" t="s">
        <v>153</v>
      </c>
    </row>
    <row r="54" spans="1:8" x14ac:dyDescent="0.35">
      <c r="A54" t="s">
        <v>154</v>
      </c>
      <c r="B54">
        <v>1954</v>
      </c>
      <c r="C54">
        <v>8.5</v>
      </c>
      <c r="D54" s="1">
        <v>566914</v>
      </c>
      <c r="E54">
        <v>112</v>
      </c>
      <c r="F54" t="s">
        <v>49</v>
      </c>
      <c r="G54" t="s">
        <v>155</v>
      </c>
      <c r="H54" t="s">
        <v>156</v>
      </c>
    </row>
    <row r="55" spans="1:8" x14ac:dyDescent="0.35">
      <c r="A55" t="s">
        <v>157</v>
      </c>
      <c r="B55">
        <v>1969</v>
      </c>
      <c r="C55">
        <v>8.5</v>
      </c>
      <c r="D55" s="1">
        <v>382606</v>
      </c>
      <c r="E55">
        <v>145</v>
      </c>
      <c r="F55" t="s">
        <v>16</v>
      </c>
      <c r="G55" t="s">
        <v>150</v>
      </c>
      <c r="H55" t="s">
        <v>158</v>
      </c>
    </row>
    <row r="56" spans="1:8" x14ac:dyDescent="0.35">
      <c r="A56" t="s">
        <v>159</v>
      </c>
      <c r="B56">
        <v>1931</v>
      </c>
      <c r="C56">
        <v>8.5</v>
      </c>
      <c r="D56" s="1">
        <v>215684</v>
      </c>
      <c r="E56">
        <v>87</v>
      </c>
      <c r="F56" t="s">
        <v>112</v>
      </c>
      <c r="G56" t="s">
        <v>84</v>
      </c>
      <c r="H56" t="s">
        <v>160</v>
      </c>
    </row>
    <row r="57" spans="1:8" x14ac:dyDescent="0.35">
      <c r="A57" t="s">
        <v>161</v>
      </c>
      <c r="B57">
        <v>1979</v>
      </c>
      <c r="C57">
        <v>8.4</v>
      </c>
      <c r="D57" s="1">
        <v>766922</v>
      </c>
      <c r="E57">
        <v>147</v>
      </c>
      <c r="F57" t="s">
        <v>9</v>
      </c>
      <c r="G57" t="s">
        <v>162</v>
      </c>
      <c r="H57" t="s">
        <v>163</v>
      </c>
    </row>
    <row r="58" spans="1:8" x14ac:dyDescent="0.35">
      <c r="A58" t="s">
        <v>164</v>
      </c>
      <c r="B58">
        <v>2008</v>
      </c>
      <c r="C58">
        <v>8.4</v>
      </c>
      <c r="D58" s="1">
        <v>1311927</v>
      </c>
      <c r="E58">
        <v>98</v>
      </c>
      <c r="F58" t="s">
        <v>112</v>
      </c>
      <c r="G58" t="s">
        <v>94</v>
      </c>
      <c r="H58" t="s">
        <v>165</v>
      </c>
    </row>
    <row r="59" spans="1:8" x14ac:dyDescent="0.35">
      <c r="A59" t="s">
        <v>166</v>
      </c>
      <c r="B59">
        <v>2001</v>
      </c>
      <c r="C59">
        <v>8.4</v>
      </c>
      <c r="D59" s="1">
        <v>1427780</v>
      </c>
      <c r="E59">
        <v>113</v>
      </c>
      <c r="F59" t="s">
        <v>9</v>
      </c>
      <c r="G59" t="s">
        <v>155</v>
      </c>
      <c r="H59" t="s">
        <v>167</v>
      </c>
    </row>
    <row r="60" spans="1:8" x14ac:dyDescent="0.35">
      <c r="A60" t="s">
        <v>168</v>
      </c>
      <c r="B60">
        <v>2024</v>
      </c>
      <c r="C60">
        <v>8.4</v>
      </c>
      <c r="D60" s="1">
        <v>722936</v>
      </c>
      <c r="E60">
        <v>166</v>
      </c>
      <c r="F60" t="s">
        <v>16</v>
      </c>
      <c r="G60" t="s">
        <v>100</v>
      </c>
      <c r="H60" t="s">
        <v>169</v>
      </c>
    </row>
    <row r="61" spans="1:8" x14ac:dyDescent="0.35">
      <c r="A61" t="s">
        <v>170</v>
      </c>
      <c r="B61">
        <v>1981</v>
      </c>
      <c r="C61">
        <v>8.4</v>
      </c>
      <c r="D61" s="1">
        <v>1105828</v>
      </c>
      <c r="E61">
        <v>115</v>
      </c>
      <c r="F61" t="s">
        <v>49</v>
      </c>
      <c r="G61" t="s">
        <v>171</v>
      </c>
      <c r="H61" t="s">
        <v>172</v>
      </c>
    </row>
    <row r="62" spans="1:8" x14ac:dyDescent="0.35">
      <c r="A62" t="s">
        <v>173</v>
      </c>
      <c r="B62">
        <v>2018</v>
      </c>
      <c r="C62">
        <v>8.4</v>
      </c>
      <c r="D62" s="1">
        <v>1359383</v>
      </c>
      <c r="E62">
        <v>149</v>
      </c>
      <c r="F62" t="s">
        <v>16</v>
      </c>
      <c r="G62" t="s">
        <v>46</v>
      </c>
      <c r="H62" t="s">
        <v>174</v>
      </c>
    </row>
    <row r="63" spans="1:8" x14ac:dyDescent="0.35">
      <c r="A63" t="s">
        <v>175</v>
      </c>
      <c r="B63">
        <v>2007</v>
      </c>
      <c r="C63">
        <v>8.4</v>
      </c>
      <c r="D63" s="1">
        <v>441636</v>
      </c>
      <c r="E63">
        <v>137</v>
      </c>
      <c r="F63" t="s">
        <v>9</v>
      </c>
      <c r="G63" t="s">
        <v>155</v>
      </c>
      <c r="H63" t="s">
        <v>176</v>
      </c>
    </row>
    <row r="64" spans="1:8" x14ac:dyDescent="0.35">
      <c r="A64" t="s">
        <v>177</v>
      </c>
      <c r="B64">
        <v>2018</v>
      </c>
      <c r="C64">
        <v>8.4</v>
      </c>
      <c r="D64" s="1">
        <v>780193</v>
      </c>
      <c r="E64">
        <v>117</v>
      </c>
      <c r="F64" t="s">
        <v>49</v>
      </c>
      <c r="G64" t="s">
        <v>134</v>
      </c>
      <c r="H64" t="s">
        <v>178</v>
      </c>
    </row>
    <row r="65" spans="1:8" x14ac:dyDescent="0.35">
      <c r="A65" t="s">
        <v>179</v>
      </c>
      <c r="B65">
        <v>1950</v>
      </c>
      <c r="C65">
        <v>8.4</v>
      </c>
      <c r="D65" s="1">
        <v>260009</v>
      </c>
      <c r="E65">
        <v>110</v>
      </c>
      <c r="F65" t="s">
        <v>22</v>
      </c>
      <c r="G65" t="s">
        <v>180</v>
      </c>
      <c r="H65" t="s">
        <v>181</v>
      </c>
    </row>
    <row r="66" spans="1:8" x14ac:dyDescent="0.35">
      <c r="A66" t="s">
        <v>182</v>
      </c>
      <c r="B66">
        <v>1958</v>
      </c>
      <c r="C66">
        <v>8.4</v>
      </c>
      <c r="D66" s="1">
        <v>160732</v>
      </c>
      <c r="E66">
        <v>116</v>
      </c>
      <c r="F66" t="s">
        <v>22</v>
      </c>
      <c r="G66" t="s">
        <v>64</v>
      </c>
      <c r="H66" t="s">
        <v>23</v>
      </c>
    </row>
    <row r="67" spans="1:8" x14ac:dyDescent="0.35">
      <c r="A67" t="s">
        <v>183</v>
      </c>
      <c r="B67">
        <v>1957</v>
      </c>
      <c r="C67">
        <v>8.4</v>
      </c>
      <c r="D67" s="1">
        <v>237768</v>
      </c>
      <c r="E67">
        <v>88</v>
      </c>
      <c r="F67" t="s">
        <v>22</v>
      </c>
      <c r="G67" t="s">
        <v>76</v>
      </c>
      <c r="H67" t="s">
        <v>23</v>
      </c>
    </row>
    <row r="68" spans="1:8" x14ac:dyDescent="0.35">
      <c r="A68" t="s">
        <v>184</v>
      </c>
      <c r="B68">
        <v>1980</v>
      </c>
      <c r="C68">
        <v>8.4</v>
      </c>
      <c r="D68" s="1">
        <v>1218463</v>
      </c>
      <c r="E68">
        <v>146</v>
      </c>
      <c r="F68" t="s">
        <v>9</v>
      </c>
      <c r="G68" t="s">
        <v>185</v>
      </c>
      <c r="H68" t="s">
        <v>186</v>
      </c>
    </row>
    <row r="69" spans="1:8" x14ac:dyDescent="0.35">
      <c r="A69" t="s">
        <v>187</v>
      </c>
      <c r="B69">
        <v>1941</v>
      </c>
      <c r="C69">
        <v>8.4</v>
      </c>
      <c r="D69" s="1">
        <v>258580</v>
      </c>
      <c r="E69">
        <v>125</v>
      </c>
      <c r="F69" t="s">
        <v>112</v>
      </c>
      <c r="G69" t="s">
        <v>188</v>
      </c>
      <c r="H69" t="s">
        <v>189</v>
      </c>
    </row>
    <row r="70" spans="1:8" x14ac:dyDescent="0.35">
      <c r="A70" t="s">
        <v>190</v>
      </c>
      <c r="B70">
        <v>2009</v>
      </c>
      <c r="C70">
        <v>8.4</v>
      </c>
      <c r="D70" s="1">
        <v>1769293</v>
      </c>
      <c r="E70">
        <v>153</v>
      </c>
      <c r="F70" t="s">
        <v>9</v>
      </c>
      <c r="G70" t="s">
        <v>191</v>
      </c>
      <c r="H70" t="s">
        <v>192</v>
      </c>
    </row>
    <row r="71" spans="1:8" x14ac:dyDescent="0.35">
      <c r="A71" t="s">
        <v>193</v>
      </c>
      <c r="B71">
        <v>2023</v>
      </c>
      <c r="C71">
        <v>8.6999999999999993</v>
      </c>
      <c r="D71" s="1">
        <v>168898</v>
      </c>
      <c r="E71">
        <v>147</v>
      </c>
      <c r="F71" t="s">
        <v>22</v>
      </c>
      <c r="G71" t="s">
        <v>194</v>
      </c>
      <c r="H71" t="s">
        <v>195</v>
      </c>
    </row>
    <row r="72" spans="1:8" x14ac:dyDescent="0.35">
      <c r="A72" t="s">
        <v>196</v>
      </c>
      <c r="B72">
        <v>1986</v>
      </c>
      <c r="C72">
        <v>8.4</v>
      </c>
      <c r="D72" s="1">
        <v>837039</v>
      </c>
      <c r="E72">
        <v>137</v>
      </c>
      <c r="F72" t="s">
        <v>9</v>
      </c>
      <c r="G72" t="s">
        <v>197</v>
      </c>
      <c r="H72" t="s">
        <v>198</v>
      </c>
    </row>
    <row r="73" spans="1:8" x14ac:dyDescent="0.35">
      <c r="A73" t="s">
        <v>199</v>
      </c>
      <c r="B73">
        <v>1963</v>
      </c>
      <c r="C73">
        <v>8.4</v>
      </c>
      <c r="D73" s="1">
        <v>70730</v>
      </c>
      <c r="E73">
        <v>143</v>
      </c>
      <c r="F73" t="s">
        <v>22</v>
      </c>
      <c r="G73" t="s">
        <v>64</v>
      </c>
      <c r="H73" t="s">
        <v>160</v>
      </c>
    </row>
    <row r="74" spans="1:8" x14ac:dyDescent="0.35">
      <c r="A74" t="s">
        <v>200</v>
      </c>
      <c r="B74">
        <v>1998</v>
      </c>
      <c r="C74">
        <v>8.4</v>
      </c>
      <c r="D74" s="1">
        <v>1206463</v>
      </c>
      <c r="E74">
        <v>126</v>
      </c>
      <c r="F74" t="s">
        <v>9</v>
      </c>
      <c r="G74" t="s">
        <v>40</v>
      </c>
      <c r="H74" t="s">
        <v>201</v>
      </c>
    </row>
    <row r="75" spans="1:8" x14ac:dyDescent="0.35">
      <c r="A75" t="s">
        <v>202</v>
      </c>
      <c r="B75">
        <v>2019</v>
      </c>
      <c r="C75">
        <v>8.4</v>
      </c>
      <c r="D75" s="1">
        <v>1432148</v>
      </c>
      <c r="E75">
        <v>181</v>
      </c>
      <c r="F75" t="s">
        <v>16</v>
      </c>
      <c r="G75" t="s">
        <v>46</v>
      </c>
      <c r="H75" t="s">
        <v>203</v>
      </c>
    </row>
    <row r="76" spans="1:8" x14ac:dyDescent="0.35">
      <c r="A76" t="s">
        <v>204</v>
      </c>
      <c r="B76">
        <v>2012</v>
      </c>
      <c r="C76">
        <v>8.4</v>
      </c>
      <c r="D76" s="1">
        <v>1982116</v>
      </c>
      <c r="E76">
        <v>164</v>
      </c>
      <c r="F76" t="s">
        <v>16</v>
      </c>
      <c r="G76" t="s">
        <v>17</v>
      </c>
      <c r="H76" t="s">
        <v>205</v>
      </c>
    </row>
    <row r="77" spans="1:8" x14ac:dyDescent="0.35">
      <c r="A77" t="s">
        <v>206</v>
      </c>
      <c r="B77">
        <v>2017</v>
      </c>
      <c r="C77">
        <v>8.4</v>
      </c>
      <c r="D77" s="1">
        <v>699365</v>
      </c>
      <c r="E77">
        <v>105</v>
      </c>
      <c r="F77" t="s">
        <v>49</v>
      </c>
      <c r="G77" t="s">
        <v>113</v>
      </c>
      <c r="H77" t="s">
        <v>207</v>
      </c>
    </row>
    <row r="78" spans="1:8" x14ac:dyDescent="0.35">
      <c r="A78" t="s">
        <v>208</v>
      </c>
      <c r="B78">
        <v>1984</v>
      </c>
      <c r="C78">
        <v>8.4</v>
      </c>
      <c r="D78" s="1">
        <v>465769</v>
      </c>
      <c r="E78">
        <v>160</v>
      </c>
      <c r="F78" t="s">
        <v>49</v>
      </c>
      <c r="G78" t="s">
        <v>97</v>
      </c>
      <c r="H78" t="s">
        <v>209</v>
      </c>
    </row>
    <row r="79" spans="1:8" x14ac:dyDescent="0.35">
      <c r="A79" t="s">
        <v>210</v>
      </c>
      <c r="B79">
        <v>1995</v>
      </c>
      <c r="C79">
        <v>8.3000000000000007</v>
      </c>
      <c r="D79" s="1">
        <v>1166702</v>
      </c>
      <c r="E79">
        <v>81</v>
      </c>
      <c r="F79" t="s">
        <v>112</v>
      </c>
      <c r="G79" t="s">
        <v>211</v>
      </c>
      <c r="H79" t="s">
        <v>212</v>
      </c>
    </row>
    <row r="80" spans="1:8" x14ac:dyDescent="0.35">
      <c r="A80" t="s">
        <v>213</v>
      </c>
      <c r="B80">
        <v>2017</v>
      </c>
      <c r="C80">
        <v>8.4</v>
      </c>
      <c r="D80" s="1">
        <v>387323</v>
      </c>
      <c r="E80">
        <v>106</v>
      </c>
      <c r="F80" t="s">
        <v>22</v>
      </c>
      <c r="G80" t="s">
        <v>214</v>
      </c>
      <c r="H80" t="s">
        <v>215</v>
      </c>
    </row>
    <row r="81" spans="1:8" x14ac:dyDescent="0.35">
      <c r="A81" t="s">
        <v>216</v>
      </c>
      <c r="B81">
        <v>1982</v>
      </c>
      <c r="C81">
        <v>8.3000000000000007</v>
      </c>
      <c r="D81" s="1">
        <v>286903</v>
      </c>
      <c r="E81">
        <v>149</v>
      </c>
      <c r="F81" t="s">
        <v>22</v>
      </c>
      <c r="G81" t="s">
        <v>76</v>
      </c>
      <c r="H81" t="s">
        <v>217</v>
      </c>
    </row>
    <row r="82" spans="1:8" x14ac:dyDescent="0.35">
      <c r="A82" t="s">
        <v>218</v>
      </c>
      <c r="B82">
        <v>2003</v>
      </c>
      <c r="C82">
        <v>8.3000000000000007</v>
      </c>
      <c r="D82" s="1">
        <v>713159</v>
      </c>
      <c r="E82">
        <v>120</v>
      </c>
      <c r="F82" t="s">
        <v>9</v>
      </c>
      <c r="G82" t="s">
        <v>219</v>
      </c>
      <c r="H82" t="s">
        <v>220</v>
      </c>
    </row>
    <row r="83" spans="1:8" x14ac:dyDescent="0.35">
      <c r="A83" t="s">
        <v>221</v>
      </c>
      <c r="B83">
        <v>1995</v>
      </c>
      <c r="C83">
        <v>8.3000000000000007</v>
      </c>
      <c r="D83" s="1">
        <v>1156620</v>
      </c>
      <c r="E83">
        <v>178</v>
      </c>
      <c r="F83" t="s">
        <v>9</v>
      </c>
      <c r="G83" t="s">
        <v>222</v>
      </c>
      <c r="H83" t="s">
        <v>223</v>
      </c>
    </row>
    <row r="84" spans="1:8" x14ac:dyDescent="0.35">
      <c r="A84" t="s">
        <v>224</v>
      </c>
      <c r="B84">
        <v>1997</v>
      </c>
      <c r="C84">
        <v>8.3000000000000007</v>
      </c>
      <c r="D84" s="1">
        <v>480469</v>
      </c>
      <c r="E84">
        <v>133</v>
      </c>
      <c r="F84" t="s">
        <v>16</v>
      </c>
      <c r="G84" t="s">
        <v>225</v>
      </c>
      <c r="H84" t="s">
        <v>226</v>
      </c>
    </row>
    <row r="85" spans="1:8" x14ac:dyDescent="0.35">
      <c r="A85" t="s">
        <v>227</v>
      </c>
      <c r="B85">
        <v>1964</v>
      </c>
      <c r="C85">
        <v>8.3000000000000007</v>
      </c>
      <c r="D85" s="1">
        <v>549702</v>
      </c>
      <c r="E85">
        <v>95</v>
      </c>
      <c r="F85" t="s">
        <v>49</v>
      </c>
      <c r="G85" t="s">
        <v>228</v>
      </c>
      <c r="H85" t="s">
        <v>229</v>
      </c>
    </row>
    <row r="86" spans="1:8" x14ac:dyDescent="0.35">
      <c r="A86" t="s">
        <v>230</v>
      </c>
      <c r="B86">
        <v>2009</v>
      </c>
      <c r="C86">
        <v>8.4</v>
      </c>
      <c r="D86" s="1">
        <v>478860</v>
      </c>
      <c r="E86">
        <v>170</v>
      </c>
      <c r="F86" t="s">
        <v>16</v>
      </c>
      <c r="G86" t="s">
        <v>142</v>
      </c>
      <c r="H86" t="s">
        <v>231</v>
      </c>
    </row>
    <row r="87" spans="1:8" x14ac:dyDescent="0.35">
      <c r="A87" t="s">
        <v>232</v>
      </c>
      <c r="B87">
        <v>1999</v>
      </c>
      <c r="C87">
        <v>8.3000000000000007</v>
      </c>
      <c r="D87" s="1">
        <v>1275771</v>
      </c>
      <c r="E87">
        <v>122</v>
      </c>
      <c r="F87" t="s">
        <v>9</v>
      </c>
      <c r="G87" t="s">
        <v>10</v>
      </c>
      <c r="H87" t="s">
        <v>233</v>
      </c>
    </row>
    <row r="88" spans="1:8" x14ac:dyDescent="0.35">
      <c r="A88" t="s">
        <v>234</v>
      </c>
      <c r="B88">
        <v>2018</v>
      </c>
      <c r="C88">
        <v>8.4</v>
      </c>
      <c r="D88" s="1">
        <v>123170</v>
      </c>
      <c r="E88">
        <v>126</v>
      </c>
      <c r="F88" t="s">
        <v>9</v>
      </c>
      <c r="G88" t="s">
        <v>10</v>
      </c>
      <c r="H88" t="s">
        <v>235</v>
      </c>
    </row>
    <row r="89" spans="1:8" x14ac:dyDescent="0.35">
      <c r="A89" t="s">
        <v>236</v>
      </c>
      <c r="B89">
        <v>1952</v>
      </c>
      <c r="C89">
        <v>8.3000000000000007</v>
      </c>
      <c r="D89" s="1">
        <v>281252</v>
      </c>
      <c r="E89">
        <v>103</v>
      </c>
      <c r="F89" t="s">
        <v>112</v>
      </c>
      <c r="G89" t="s">
        <v>237</v>
      </c>
      <c r="H89" t="s">
        <v>238</v>
      </c>
    </row>
    <row r="90" spans="1:8" x14ac:dyDescent="0.35">
      <c r="A90" t="s">
        <v>239</v>
      </c>
      <c r="B90">
        <v>2019</v>
      </c>
      <c r="C90">
        <v>8.3000000000000007</v>
      </c>
      <c r="D90" s="1">
        <v>1680640</v>
      </c>
      <c r="E90">
        <v>122</v>
      </c>
      <c r="F90" t="s">
        <v>9</v>
      </c>
      <c r="G90" t="s">
        <v>43</v>
      </c>
      <c r="H90" t="s">
        <v>240</v>
      </c>
    </row>
    <row r="91" spans="1:8" x14ac:dyDescent="0.35">
      <c r="A91" t="s">
        <v>241</v>
      </c>
      <c r="B91">
        <v>1984</v>
      </c>
      <c r="C91">
        <v>8.3000000000000007</v>
      </c>
      <c r="D91" s="1">
        <v>407012</v>
      </c>
      <c r="E91">
        <v>229</v>
      </c>
      <c r="F91" t="s">
        <v>9</v>
      </c>
      <c r="G91" t="s">
        <v>13</v>
      </c>
      <c r="H91" t="s">
        <v>242</v>
      </c>
    </row>
    <row r="92" spans="1:8" x14ac:dyDescent="0.35">
      <c r="A92" t="s">
        <v>243</v>
      </c>
      <c r="B92">
        <v>1985</v>
      </c>
      <c r="C92">
        <v>8.3000000000000007</v>
      </c>
      <c r="D92" s="1">
        <v>121365</v>
      </c>
      <c r="E92">
        <v>142</v>
      </c>
      <c r="F92" t="s">
        <v>22</v>
      </c>
      <c r="G92" t="s">
        <v>244</v>
      </c>
      <c r="H92" t="s">
        <v>245</v>
      </c>
    </row>
    <row r="93" spans="1:8" x14ac:dyDescent="0.35">
      <c r="A93" t="s">
        <v>246</v>
      </c>
      <c r="B93">
        <v>1983</v>
      </c>
      <c r="C93">
        <v>8.3000000000000007</v>
      </c>
      <c r="D93" s="1">
        <v>1203209</v>
      </c>
      <c r="E93">
        <v>131</v>
      </c>
      <c r="F93" t="s">
        <v>49</v>
      </c>
      <c r="G93" t="s">
        <v>50</v>
      </c>
      <c r="H93" t="s">
        <v>247</v>
      </c>
    </row>
    <row r="94" spans="1:8" x14ac:dyDescent="0.35">
      <c r="A94" t="s">
        <v>248</v>
      </c>
      <c r="B94">
        <v>2000</v>
      </c>
      <c r="C94">
        <v>8.3000000000000007</v>
      </c>
      <c r="D94" s="1">
        <v>968756</v>
      </c>
      <c r="E94">
        <v>102</v>
      </c>
      <c r="F94" t="s">
        <v>249</v>
      </c>
      <c r="G94" t="s">
        <v>10</v>
      </c>
      <c r="H94" t="s">
        <v>250</v>
      </c>
    </row>
    <row r="95" spans="1:8" x14ac:dyDescent="0.35">
      <c r="A95" t="s">
        <v>251</v>
      </c>
      <c r="B95">
        <v>2010</v>
      </c>
      <c r="C95">
        <v>8.3000000000000007</v>
      </c>
      <c r="D95" s="1">
        <v>964317</v>
      </c>
      <c r="E95">
        <v>103</v>
      </c>
      <c r="F95" t="s">
        <v>112</v>
      </c>
      <c r="G95" t="s">
        <v>211</v>
      </c>
      <c r="H95" t="s">
        <v>252</v>
      </c>
    </row>
    <row r="96" spans="1:8" x14ac:dyDescent="0.35">
      <c r="A96" t="s">
        <v>253</v>
      </c>
      <c r="B96">
        <v>1956</v>
      </c>
      <c r="C96">
        <v>8.3000000000000007</v>
      </c>
      <c r="D96" s="1">
        <v>101603</v>
      </c>
      <c r="E96">
        <v>143</v>
      </c>
      <c r="F96" t="s">
        <v>22</v>
      </c>
      <c r="G96" t="s">
        <v>10</v>
      </c>
      <c r="H96" t="s">
        <v>254</v>
      </c>
    </row>
    <row r="97" spans="1:8" x14ac:dyDescent="0.35">
      <c r="A97" t="s">
        <v>255</v>
      </c>
      <c r="B97">
        <v>2012</v>
      </c>
      <c r="C97">
        <v>8.3000000000000007</v>
      </c>
      <c r="D97" s="1">
        <v>406436</v>
      </c>
      <c r="E97">
        <v>115</v>
      </c>
      <c r="F97" t="s">
        <v>9</v>
      </c>
      <c r="G97" t="s">
        <v>10</v>
      </c>
      <c r="H97" t="s">
        <v>256</v>
      </c>
    </row>
    <row r="98" spans="1:8" x14ac:dyDescent="0.35">
      <c r="A98" t="s">
        <v>257</v>
      </c>
      <c r="B98">
        <v>2011</v>
      </c>
      <c r="C98">
        <v>8.3000000000000007</v>
      </c>
      <c r="D98" s="1">
        <v>247689</v>
      </c>
      <c r="E98">
        <v>131</v>
      </c>
      <c r="F98" t="s">
        <v>9</v>
      </c>
      <c r="G98" t="s">
        <v>162</v>
      </c>
      <c r="H98" t="s">
        <v>258</v>
      </c>
    </row>
    <row r="99" spans="1:8" x14ac:dyDescent="0.35">
      <c r="A99" t="s">
        <v>259</v>
      </c>
      <c r="B99">
        <v>2004</v>
      </c>
      <c r="C99">
        <v>8.3000000000000007</v>
      </c>
      <c r="D99" s="1">
        <v>1176721</v>
      </c>
      <c r="E99">
        <v>108</v>
      </c>
      <c r="F99" t="s">
        <v>9</v>
      </c>
      <c r="G99" t="s">
        <v>260</v>
      </c>
      <c r="H99" t="s">
        <v>261</v>
      </c>
    </row>
    <row r="100" spans="1:8" x14ac:dyDescent="0.35">
      <c r="A100" t="s">
        <v>262</v>
      </c>
      <c r="B100">
        <v>1960</v>
      </c>
      <c r="C100">
        <v>8.3000000000000007</v>
      </c>
      <c r="D100" s="1">
        <v>218092</v>
      </c>
      <c r="E100">
        <v>125</v>
      </c>
      <c r="F100" t="s">
        <v>22</v>
      </c>
      <c r="G100" t="s">
        <v>84</v>
      </c>
      <c r="H100" t="s">
        <v>263</v>
      </c>
    </row>
    <row r="101" spans="1:8" x14ac:dyDescent="0.35">
      <c r="A101" t="s">
        <v>264</v>
      </c>
      <c r="B101">
        <v>1962</v>
      </c>
      <c r="C101">
        <v>8.3000000000000007</v>
      </c>
      <c r="D101" s="1">
        <v>340320</v>
      </c>
      <c r="E101">
        <v>227</v>
      </c>
      <c r="F101" t="s">
        <v>22</v>
      </c>
      <c r="G101" t="s">
        <v>265</v>
      </c>
      <c r="H101" t="s">
        <v>266</v>
      </c>
    </row>
    <row r="102" spans="1:8" x14ac:dyDescent="0.35">
      <c r="A102" t="s">
        <v>267</v>
      </c>
      <c r="B102">
        <v>1968</v>
      </c>
      <c r="C102">
        <v>8.3000000000000007</v>
      </c>
      <c r="D102" s="1">
        <v>778954</v>
      </c>
      <c r="E102">
        <v>149</v>
      </c>
      <c r="F102" t="s">
        <v>112</v>
      </c>
      <c r="G102" t="s">
        <v>268</v>
      </c>
      <c r="H102" t="s">
        <v>269</v>
      </c>
    </row>
    <row r="103" spans="1:8" x14ac:dyDescent="0.35">
      <c r="A103" t="s">
        <v>270</v>
      </c>
      <c r="B103">
        <v>1995</v>
      </c>
      <c r="C103">
        <v>8.3000000000000007</v>
      </c>
      <c r="D103" s="1">
        <v>796873</v>
      </c>
      <c r="E103">
        <v>170</v>
      </c>
      <c r="F103" t="s">
        <v>9</v>
      </c>
      <c r="G103" t="s">
        <v>17</v>
      </c>
      <c r="H103" t="s">
        <v>271</v>
      </c>
    </row>
    <row r="104" spans="1:8" x14ac:dyDescent="0.35">
      <c r="A104" t="s">
        <v>272</v>
      </c>
      <c r="B104">
        <v>1992</v>
      </c>
      <c r="C104">
        <v>8.3000000000000007</v>
      </c>
      <c r="D104" s="1">
        <v>1165366</v>
      </c>
      <c r="E104">
        <v>99</v>
      </c>
      <c r="F104" t="s">
        <v>9</v>
      </c>
      <c r="G104" t="s">
        <v>273</v>
      </c>
      <c r="H104" t="s">
        <v>274</v>
      </c>
    </row>
    <row r="105" spans="1:8" x14ac:dyDescent="0.35">
      <c r="A105" t="s">
        <v>275</v>
      </c>
      <c r="B105">
        <v>1983</v>
      </c>
      <c r="C105">
        <v>8.3000000000000007</v>
      </c>
      <c r="D105" s="1">
        <v>1009015</v>
      </c>
      <c r="E105">
        <v>170</v>
      </c>
      <c r="F105" t="s">
        <v>9</v>
      </c>
      <c r="G105" t="s">
        <v>13</v>
      </c>
      <c r="H105" t="s">
        <v>276</v>
      </c>
    </row>
    <row r="106" spans="1:8" x14ac:dyDescent="0.35">
      <c r="A106" t="s">
        <v>277</v>
      </c>
      <c r="B106">
        <v>1944</v>
      </c>
      <c r="C106">
        <v>8.3000000000000007</v>
      </c>
      <c r="D106" s="1">
        <v>180523</v>
      </c>
      <c r="E106">
        <v>107</v>
      </c>
      <c r="F106" t="s">
        <v>22</v>
      </c>
      <c r="G106" t="s">
        <v>278</v>
      </c>
      <c r="H106" t="s">
        <v>117</v>
      </c>
    </row>
    <row r="107" spans="1:8" x14ac:dyDescent="0.35">
      <c r="A107" t="s">
        <v>279</v>
      </c>
      <c r="B107">
        <v>2009</v>
      </c>
      <c r="C107">
        <v>8.3000000000000007</v>
      </c>
      <c r="D107" s="1">
        <v>1228016</v>
      </c>
      <c r="E107">
        <v>96</v>
      </c>
      <c r="F107" t="s">
        <v>49</v>
      </c>
      <c r="G107" t="s">
        <v>211</v>
      </c>
      <c r="H107" t="s">
        <v>280</v>
      </c>
    </row>
    <row r="108" spans="1:8" x14ac:dyDescent="0.35">
      <c r="A108" t="s">
        <v>281</v>
      </c>
      <c r="B108">
        <v>1959</v>
      </c>
      <c r="C108">
        <v>8.3000000000000007</v>
      </c>
      <c r="D108" s="1">
        <v>368598</v>
      </c>
      <c r="E108">
        <v>136</v>
      </c>
      <c r="F108" t="s">
        <v>22</v>
      </c>
      <c r="G108" t="s">
        <v>282</v>
      </c>
      <c r="H108" t="s">
        <v>283</v>
      </c>
    </row>
    <row r="109" spans="1:8" x14ac:dyDescent="0.35">
      <c r="A109" t="s">
        <v>284</v>
      </c>
      <c r="B109">
        <v>2007</v>
      </c>
      <c r="C109">
        <v>8.3000000000000007</v>
      </c>
      <c r="D109" s="1">
        <v>230698</v>
      </c>
      <c r="E109">
        <v>162</v>
      </c>
      <c r="F109" t="s">
        <v>49</v>
      </c>
      <c r="G109" t="s">
        <v>285</v>
      </c>
      <c r="H109" t="s">
        <v>286</v>
      </c>
    </row>
    <row r="110" spans="1:8" x14ac:dyDescent="0.35">
      <c r="A110" t="s">
        <v>287</v>
      </c>
      <c r="B110">
        <v>1987</v>
      </c>
      <c r="C110">
        <v>8.1999999999999993</v>
      </c>
      <c r="D110" s="1">
        <v>847150</v>
      </c>
      <c r="E110">
        <v>116</v>
      </c>
      <c r="F110" t="s">
        <v>9</v>
      </c>
      <c r="G110" t="s">
        <v>76</v>
      </c>
      <c r="H110" t="s">
        <v>288</v>
      </c>
    </row>
    <row r="111" spans="1:8" x14ac:dyDescent="0.35">
      <c r="A111" t="s">
        <v>289</v>
      </c>
      <c r="B111">
        <v>1931</v>
      </c>
      <c r="C111">
        <v>8.3000000000000007</v>
      </c>
      <c r="D111" s="1">
        <v>182156</v>
      </c>
      <c r="E111">
        <v>99</v>
      </c>
      <c r="F111" t="s">
        <v>22</v>
      </c>
      <c r="G111" t="s">
        <v>290</v>
      </c>
      <c r="H111" t="s">
        <v>291</v>
      </c>
    </row>
    <row r="112" spans="1:8" x14ac:dyDescent="0.35">
      <c r="A112" t="s">
        <v>292</v>
      </c>
      <c r="B112">
        <v>1941</v>
      </c>
      <c r="C112">
        <v>8.1999999999999993</v>
      </c>
      <c r="D112" s="1">
        <v>492218</v>
      </c>
      <c r="E112">
        <v>119</v>
      </c>
      <c r="F112" t="s">
        <v>49</v>
      </c>
      <c r="G112" t="s">
        <v>116</v>
      </c>
      <c r="H112" t="s">
        <v>293</v>
      </c>
    </row>
    <row r="113" spans="1:8" x14ac:dyDescent="0.35">
      <c r="A113" t="s">
        <v>294</v>
      </c>
      <c r="B113">
        <v>2002</v>
      </c>
      <c r="C113">
        <v>8.3000000000000007</v>
      </c>
      <c r="D113" s="1">
        <v>836818</v>
      </c>
      <c r="E113">
        <v>122</v>
      </c>
      <c r="F113" t="s">
        <v>9</v>
      </c>
      <c r="G113" t="s">
        <v>295</v>
      </c>
      <c r="H113" t="s">
        <v>296</v>
      </c>
    </row>
    <row r="114" spans="1:8" x14ac:dyDescent="0.35">
      <c r="A114" t="s">
        <v>297</v>
      </c>
      <c r="B114">
        <v>1958</v>
      </c>
      <c r="C114">
        <v>8.1999999999999993</v>
      </c>
      <c r="D114" s="1">
        <v>457682</v>
      </c>
      <c r="E114">
        <v>128</v>
      </c>
      <c r="F114" t="s">
        <v>49</v>
      </c>
      <c r="G114" t="s">
        <v>298</v>
      </c>
      <c r="H114" t="s">
        <v>299</v>
      </c>
    </row>
    <row r="115" spans="1:8" x14ac:dyDescent="0.35">
      <c r="A115" t="s">
        <v>300</v>
      </c>
      <c r="B115">
        <v>2011</v>
      </c>
      <c r="C115">
        <v>8.3000000000000007</v>
      </c>
      <c r="D115" s="1">
        <v>276702</v>
      </c>
      <c r="E115">
        <v>123</v>
      </c>
      <c r="F115" t="s">
        <v>16</v>
      </c>
      <c r="G115" t="s">
        <v>10</v>
      </c>
      <c r="H115" t="s">
        <v>301</v>
      </c>
    </row>
    <row r="116" spans="1:8" x14ac:dyDescent="0.35">
      <c r="A116" t="s">
        <v>302</v>
      </c>
      <c r="B116">
        <v>1988</v>
      </c>
      <c r="C116">
        <v>8.1999999999999993</v>
      </c>
      <c r="D116" s="1">
        <v>1025552</v>
      </c>
      <c r="E116">
        <v>132</v>
      </c>
      <c r="F116" t="s">
        <v>9</v>
      </c>
      <c r="G116" t="s">
        <v>303</v>
      </c>
      <c r="H116" t="s">
        <v>304</v>
      </c>
    </row>
    <row r="117" spans="1:8" x14ac:dyDescent="0.35">
      <c r="A117" t="s">
        <v>305</v>
      </c>
      <c r="B117">
        <v>1963</v>
      </c>
      <c r="C117">
        <v>8.1999999999999993</v>
      </c>
      <c r="D117" s="1">
        <v>350648</v>
      </c>
      <c r="E117">
        <v>129</v>
      </c>
      <c r="F117" t="s">
        <v>22</v>
      </c>
      <c r="G117" t="s">
        <v>13</v>
      </c>
      <c r="H117" t="s">
        <v>306</v>
      </c>
    </row>
    <row r="118" spans="1:8" x14ac:dyDescent="0.35">
      <c r="A118" t="s">
        <v>307</v>
      </c>
      <c r="B118">
        <v>1989</v>
      </c>
      <c r="C118">
        <v>8.1999999999999993</v>
      </c>
      <c r="D118" s="1">
        <v>860418</v>
      </c>
      <c r="E118">
        <v>127</v>
      </c>
      <c r="F118" t="s">
        <v>16</v>
      </c>
      <c r="G118" t="s">
        <v>171</v>
      </c>
      <c r="H118" t="s">
        <v>308</v>
      </c>
    </row>
    <row r="119" spans="1:8" x14ac:dyDescent="0.35">
      <c r="A119" t="s">
        <v>309</v>
      </c>
      <c r="B119">
        <v>1973</v>
      </c>
      <c r="C119">
        <v>8.1999999999999993</v>
      </c>
      <c r="D119" s="1">
        <v>299171</v>
      </c>
      <c r="E119">
        <v>129</v>
      </c>
      <c r="F119" t="s">
        <v>49</v>
      </c>
      <c r="G119" t="s">
        <v>310</v>
      </c>
      <c r="H119" t="s">
        <v>311</v>
      </c>
    </row>
    <row r="120" spans="1:8" x14ac:dyDescent="0.35">
      <c r="A120" t="s">
        <v>312</v>
      </c>
      <c r="B120">
        <v>1972</v>
      </c>
      <c r="C120">
        <v>8.1999999999999993</v>
      </c>
      <c r="D120" s="1">
        <v>933374</v>
      </c>
      <c r="E120">
        <v>136</v>
      </c>
      <c r="F120" t="s">
        <v>9</v>
      </c>
      <c r="G120" t="s">
        <v>313</v>
      </c>
      <c r="H120" t="s">
        <v>314</v>
      </c>
    </row>
    <row r="121" spans="1:8" x14ac:dyDescent="0.35">
      <c r="A121" t="s">
        <v>315</v>
      </c>
      <c r="B121">
        <v>1927</v>
      </c>
      <c r="C121">
        <v>8.1999999999999993</v>
      </c>
      <c r="D121" s="1">
        <v>200324</v>
      </c>
      <c r="E121">
        <v>153</v>
      </c>
      <c r="F121" t="s">
        <v>22</v>
      </c>
      <c r="G121" t="s">
        <v>316</v>
      </c>
      <c r="H121" t="s">
        <v>317</v>
      </c>
    </row>
    <row r="122" spans="1:8" x14ac:dyDescent="0.35">
      <c r="A122">
        <v>1917</v>
      </c>
      <c r="B122">
        <v>2020</v>
      </c>
      <c r="C122">
        <v>8.1999999999999993</v>
      </c>
      <c r="D122" s="1">
        <v>765271</v>
      </c>
      <c r="E122">
        <v>119</v>
      </c>
      <c r="F122" t="s">
        <v>9</v>
      </c>
      <c r="G122" t="s">
        <v>318</v>
      </c>
      <c r="H122" t="s">
        <v>319</v>
      </c>
    </row>
    <row r="123" spans="1:8" x14ac:dyDescent="0.35">
      <c r="A123" t="s">
        <v>320</v>
      </c>
      <c r="B123">
        <v>2001</v>
      </c>
      <c r="C123">
        <v>8.1999999999999993</v>
      </c>
      <c r="D123" s="1">
        <v>972794</v>
      </c>
      <c r="E123">
        <v>102</v>
      </c>
      <c r="F123" t="s">
        <v>9</v>
      </c>
      <c r="G123" t="s">
        <v>321</v>
      </c>
      <c r="H123" t="s">
        <v>322</v>
      </c>
    </row>
    <row r="124" spans="1:8" x14ac:dyDescent="0.35">
      <c r="A124" t="s">
        <v>323</v>
      </c>
      <c r="B124">
        <v>1997</v>
      </c>
      <c r="C124">
        <v>8.1999999999999993</v>
      </c>
      <c r="D124" s="1">
        <v>656577</v>
      </c>
      <c r="E124">
        <v>138</v>
      </c>
      <c r="F124" t="s">
        <v>9</v>
      </c>
      <c r="G124" t="s">
        <v>64</v>
      </c>
      <c r="H124" t="s">
        <v>324</v>
      </c>
    </row>
    <row r="125" spans="1:8" x14ac:dyDescent="0.35">
      <c r="A125" t="s">
        <v>325</v>
      </c>
      <c r="B125">
        <v>2005</v>
      </c>
      <c r="C125">
        <v>8.1999999999999993</v>
      </c>
      <c r="D125" s="1">
        <v>398908</v>
      </c>
      <c r="E125">
        <v>156</v>
      </c>
      <c r="F125" t="s">
        <v>9</v>
      </c>
      <c r="G125" t="s">
        <v>28</v>
      </c>
      <c r="H125" t="s">
        <v>326</v>
      </c>
    </row>
    <row r="126" spans="1:8" x14ac:dyDescent="0.35">
      <c r="A126" t="s">
        <v>327</v>
      </c>
      <c r="B126">
        <v>2013</v>
      </c>
      <c r="C126">
        <v>8.1999999999999993</v>
      </c>
      <c r="D126" s="1">
        <v>1772350</v>
      </c>
      <c r="E126">
        <v>180</v>
      </c>
      <c r="F126" t="s">
        <v>9</v>
      </c>
      <c r="G126" t="s">
        <v>328</v>
      </c>
      <c r="H126" t="s">
        <v>329</v>
      </c>
    </row>
    <row r="127" spans="1:8" x14ac:dyDescent="0.35">
      <c r="A127" t="s">
        <v>330</v>
      </c>
      <c r="B127">
        <v>2016</v>
      </c>
      <c r="C127">
        <v>8.3000000000000007</v>
      </c>
      <c r="D127" s="1">
        <v>240747</v>
      </c>
      <c r="E127">
        <v>161</v>
      </c>
      <c r="F127" t="s">
        <v>22</v>
      </c>
      <c r="G127" t="s">
        <v>331</v>
      </c>
      <c r="H127" t="s">
        <v>332</v>
      </c>
    </row>
    <row r="128" spans="1:8" x14ac:dyDescent="0.35">
      <c r="A128" t="s">
        <v>333</v>
      </c>
      <c r="B128">
        <v>1998</v>
      </c>
      <c r="C128">
        <v>8.1999999999999993</v>
      </c>
      <c r="D128" s="1">
        <v>1360444</v>
      </c>
      <c r="E128">
        <v>103</v>
      </c>
      <c r="F128" t="s">
        <v>49</v>
      </c>
      <c r="G128" t="s">
        <v>142</v>
      </c>
      <c r="H128" t="s">
        <v>334</v>
      </c>
    </row>
    <row r="129" spans="1:8" x14ac:dyDescent="0.35">
      <c r="A129" t="s">
        <v>335</v>
      </c>
      <c r="B129">
        <v>1949</v>
      </c>
      <c r="C129">
        <v>8.1999999999999993</v>
      </c>
      <c r="D129" s="1">
        <v>191919</v>
      </c>
      <c r="E129">
        <v>89</v>
      </c>
      <c r="F129" t="s">
        <v>22</v>
      </c>
      <c r="G129" t="s">
        <v>10</v>
      </c>
      <c r="H129" t="s">
        <v>336</v>
      </c>
    </row>
    <row r="130" spans="1:8" x14ac:dyDescent="0.35">
      <c r="A130" t="s">
        <v>337</v>
      </c>
      <c r="B130">
        <v>2023</v>
      </c>
      <c r="C130">
        <v>8.1999999999999993</v>
      </c>
      <c r="D130" s="1">
        <v>1011743</v>
      </c>
      <c r="E130">
        <v>180</v>
      </c>
      <c r="F130" t="s">
        <v>9</v>
      </c>
      <c r="G130" t="s">
        <v>28</v>
      </c>
      <c r="H130" t="s">
        <v>338</v>
      </c>
    </row>
    <row r="131" spans="1:8" x14ac:dyDescent="0.35">
      <c r="A131" t="s">
        <v>339</v>
      </c>
      <c r="B131">
        <v>2018</v>
      </c>
      <c r="C131">
        <v>8.1999999999999993</v>
      </c>
      <c r="D131" s="1">
        <v>677929</v>
      </c>
      <c r="E131">
        <v>130</v>
      </c>
      <c r="F131" t="s">
        <v>16</v>
      </c>
      <c r="G131" t="s">
        <v>340</v>
      </c>
      <c r="H131" t="s">
        <v>341</v>
      </c>
    </row>
    <row r="132" spans="1:8" x14ac:dyDescent="0.35">
      <c r="A132" t="s">
        <v>342</v>
      </c>
      <c r="B132">
        <v>2010</v>
      </c>
      <c r="C132">
        <v>8.1999999999999993</v>
      </c>
      <c r="D132" s="1">
        <v>1631737</v>
      </c>
      <c r="E132">
        <v>138</v>
      </c>
      <c r="F132" t="s">
        <v>9</v>
      </c>
      <c r="G132" t="s">
        <v>155</v>
      </c>
      <c r="H132" t="s">
        <v>343</v>
      </c>
    </row>
    <row r="133" spans="1:8" x14ac:dyDescent="0.35">
      <c r="A133" t="s">
        <v>344</v>
      </c>
      <c r="B133">
        <v>1961</v>
      </c>
      <c r="C133">
        <v>8.3000000000000007</v>
      </c>
      <c r="D133" s="1">
        <v>96461</v>
      </c>
      <c r="E133">
        <v>179</v>
      </c>
      <c r="F133" t="s">
        <v>22</v>
      </c>
      <c r="G133" t="s">
        <v>345</v>
      </c>
      <c r="H133" t="s">
        <v>23</v>
      </c>
    </row>
    <row r="134" spans="1:8" x14ac:dyDescent="0.35">
      <c r="A134" t="s">
        <v>346</v>
      </c>
      <c r="B134">
        <v>2005</v>
      </c>
      <c r="C134">
        <v>8.1999999999999993</v>
      </c>
      <c r="D134" s="1">
        <v>1703662</v>
      </c>
      <c r="E134">
        <v>140</v>
      </c>
      <c r="F134" t="s">
        <v>16</v>
      </c>
      <c r="G134" t="s">
        <v>17</v>
      </c>
      <c r="H134" t="s">
        <v>347</v>
      </c>
    </row>
    <row r="135" spans="1:8" x14ac:dyDescent="0.35">
      <c r="A135" t="s">
        <v>348</v>
      </c>
      <c r="B135">
        <v>2020</v>
      </c>
      <c r="C135">
        <v>8.3000000000000007</v>
      </c>
      <c r="D135" s="1">
        <v>137958</v>
      </c>
      <c r="E135">
        <v>160</v>
      </c>
      <c r="F135" t="s">
        <v>16</v>
      </c>
      <c r="G135" t="s">
        <v>28</v>
      </c>
      <c r="H135" t="s">
        <v>349</v>
      </c>
    </row>
    <row r="136" spans="1:8" x14ac:dyDescent="0.35">
      <c r="A136" t="s">
        <v>350</v>
      </c>
      <c r="B136">
        <v>1967</v>
      </c>
      <c r="C136">
        <v>8.1999999999999993</v>
      </c>
      <c r="D136" s="1">
        <v>298846</v>
      </c>
      <c r="E136">
        <v>132</v>
      </c>
      <c r="F136" t="s">
        <v>9</v>
      </c>
      <c r="G136" t="s">
        <v>150</v>
      </c>
      <c r="H136" t="s">
        <v>351</v>
      </c>
    </row>
    <row r="137" spans="1:8" x14ac:dyDescent="0.35">
      <c r="A137" t="s">
        <v>352</v>
      </c>
      <c r="B137">
        <v>1976</v>
      </c>
      <c r="C137">
        <v>8.1999999999999993</v>
      </c>
      <c r="D137" s="1">
        <v>1020084</v>
      </c>
      <c r="E137">
        <v>114</v>
      </c>
      <c r="F137" t="s">
        <v>9</v>
      </c>
      <c r="G137" t="s">
        <v>13</v>
      </c>
      <c r="H137" t="s">
        <v>353</v>
      </c>
    </row>
    <row r="138" spans="1:8" x14ac:dyDescent="0.35">
      <c r="A138" t="s">
        <v>354</v>
      </c>
      <c r="B138">
        <v>1993</v>
      </c>
      <c r="C138">
        <v>8.1999999999999993</v>
      </c>
      <c r="D138" s="1">
        <v>1169814</v>
      </c>
      <c r="E138">
        <v>127</v>
      </c>
      <c r="F138" t="s">
        <v>16</v>
      </c>
      <c r="G138" t="s">
        <v>46</v>
      </c>
      <c r="H138" t="s">
        <v>355</v>
      </c>
    </row>
    <row r="139" spans="1:8" x14ac:dyDescent="0.35">
      <c r="A139" t="s">
        <v>356</v>
      </c>
      <c r="B139">
        <v>1959</v>
      </c>
      <c r="C139">
        <v>8.1999999999999993</v>
      </c>
      <c r="D139" s="1">
        <v>303664</v>
      </c>
      <c r="E139">
        <v>121</v>
      </c>
      <c r="F139" t="s">
        <v>22</v>
      </c>
      <c r="G139" t="s">
        <v>357</v>
      </c>
      <c r="H139" t="s">
        <v>283</v>
      </c>
    </row>
    <row r="140" spans="1:8" x14ac:dyDescent="0.35">
      <c r="A140" t="s">
        <v>358</v>
      </c>
      <c r="B140">
        <v>2008</v>
      </c>
      <c r="C140">
        <v>8.1999999999999993</v>
      </c>
      <c r="D140" s="1">
        <v>703624</v>
      </c>
      <c r="E140">
        <v>158</v>
      </c>
      <c r="F140" t="s">
        <v>9</v>
      </c>
      <c r="G140" t="s">
        <v>10</v>
      </c>
      <c r="H140" t="s">
        <v>359</v>
      </c>
    </row>
    <row r="141" spans="1:8" x14ac:dyDescent="0.35">
      <c r="A141" t="s">
        <v>360</v>
      </c>
      <c r="B141">
        <v>1921</v>
      </c>
      <c r="C141">
        <v>8.1999999999999993</v>
      </c>
      <c r="D141" s="1">
        <v>145076</v>
      </c>
      <c r="E141">
        <v>68</v>
      </c>
      <c r="F141" t="s">
        <v>22</v>
      </c>
      <c r="G141" t="s">
        <v>361</v>
      </c>
      <c r="H141" t="s">
        <v>362</v>
      </c>
    </row>
    <row r="142" spans="1:8" x14ac:dyDescent="0.35">
      <c r="A142" t="s">
        <v>363</v>
      </c>
      <c r="B142">
        <v>2021</v>
      </c>
      <c r="C142">
        <v>8.1999999999999993</v>
      </c>
      <c r="D142" s="1">
        <v>242331</v>
      </c>
      <c r="E142">
        <v>97</v>
      </c>
      <c r="F142" t="s">
        <v>16</v>
      </c>
      <c r="G142" t="s">
        <v>116</v>
      </c>
      <c r="H142" t="s">
        <v>364</v>
      </c>
    </row>
    <row r="143" spans="1:8" x14ac:dyDescent="0.35">
      <c r="A143" t="s">
        <v>365</v>
      </c>
      <c r="B143">
        <v>1950</v>
      </c>
      <c r="C143">
        <v>8.1999999999999993</v>
      </c>
      <c r="D143" s="1">
        <v>148633</v>
      </c>
      <c r="E143">
        <v>138</v>
      </c>
      <c r="F143" t="s">
        <v>22</v>
      </c>
      <c r="G143" t="s">
        <v>10</v>
      </c>
      <c r="H143" t="s">
        <v>366</v>
      </c>
    </row>
    <row r="144" spans="1:8" x14ac:dyDescent="0.35">
      <c r="A144" t="s">
        <v>367</v>
      </c>
      <c r="B144">
        <v>1999</v>
      </c>
      <c r="C144">
        <v>8.1999999999999993</v>
      </c>
      <c r="D144" s="1">
        <v>1138184</v>
      </c>
      <c r="E144">
        <v>107</v>
      </c>
      <c r="F144" t="s">
        <v>16</v>
      </c>
      <c r="G144" t="s">
        <v>155</v>
      </c>
      <c r="H144" t="s">
        <v>368</v>
      </c>
    </row>
    <row r="145" spans="1:8" x14ac:dyDescent="0.35">
      <c r="A145" t="s">
        <v>369</v>
      </c>
      <c r="B145">
        <v>1985</v>
      </c>
      <c r="C145">
        <v>8.1999999999999993</v>
      </c>
      <c r="D145" s="1">
        <v>150999</v>
      </c>
      <c r="E145">
        <v>160</v>
      </c>
      <c r="F145" t="s">
        <v>9</v>
      </c>
      <c r="G145" t="s">
        <v>318</v>
      </c>
      <c r="H145" t="s">
        <v>370</v>
      </c>
    </row>
    <row r="146" spans="1:8" x14ac:dyDescent="0.35">
      <c r="A146" t="s">
        <v>371</v>
      </c>
      <c r="B146">
        <v>1995</v>
      </c>
      <c r="C146">
        <v>8.1999999999999993</v>
      </c>
      <c r="D146" s="1">
        <v>615465</v>
      </c>
      <c r="E146">
        <v>178</v>
      </c>
      <c r="F146" t="s">
        <v>9</v>
      </c>
      <c r="G146" t="s">
        <v>13</v>
      </c>
      <c r="H146" t="s">
        <v>372</v>
      </c>
    </row>
    <row r="147" spans="1:8" x14ac:dyDescent="0.35">
      <c r="A147" t="s">
        <v>373</v>
      </c>
      <c r="B147">
        <v>2007</v>
      </c>
      <c r="C147">
        <v>8.1999999999999993</v>
      </c>
      <c r="D147" s="1">
        <v>1179896</v>
      </c>
      <c r="E147">
        <v>122</v>
      </c>
      <c r="F147" t="s">
        <v>9</v>
      </c>
      <c r="G147" t="s">
        <v>43</v>
      </c>
      <c r="H147" t="s">
        <v>374</v>
      </c>
    </row>
    <row r="148" spans="1:8" x14ac:dyDescent="0.35">
      <c r="A148" t="s">
        <v>375</v>
      </c>
      <c r="B148">
        <v>1982</v>
      </c>
      <c r="C148">
        <v>8.1999999999999993</v>
      </c>
      <c r="D148" s="1">
        <v>522863</v>
      </c>
      <c r="E148">
        <v>109</v>
      </c>
      <c r="F148" t="s">
        <v>9</v>
      </c>
      <c r="G148" t="s">
        <v>376</v>
      </c>
      <c r="H148" t="s">
        <v>377</v>
      </c>
    </row>
    <row r="149" spans="1:8" x14ac:dyDescent="0.35">
      <c r="A149" t="s">
        <v>378</v>
      </c>
      <c r="B149">
        <v>2022</v>
      </c>
      <c r="C149">
        <v>8.1999999999999993</v>
      </c>
      <c r="D149" s="1">
        <v>849682</v>
      </c>
      <c r="E149">
        <v>130</v>
      </c>
      <c r="F149" t="s">
        <v>16</v>
      </c>
      <c r="G149" t="s">
        <v>73</v>
      </c>
      <c r="H149" t="s">
        <v>379</v>
      </c>
    </row>
    <row r="150" spans="1:8" x14ac:dyDescent="0.35">
      <c r="A150" t="s">
        <v>380</v>
      </c>
      <c r="B150">
        <v>2013</v>
      </c>
      <c r="C150">
        <v>8.1999999999999993</v>
      </c>
      <c r="D150" s="1">
        <v>925536</v>
      </c>
      <c r="E150">
        <v>153</v>
      </c>
      <c r="F150" t="s">
        <v>9</v>
      </c>
      <c r="G150" t="s">
        <v>64</v>
      </c>
      <c r="H150" t="s">
        <v>381</v>
      </c>
    </row>
    <row r="151" spans="1:8" x14ac:dyDescent="0.35">
      <c r="A151" t="s">
        <v>382</v>
      </c>
      <c r="B151">
        <v>2003</v>
      </c>
      <c r="C151">
        <v>8.1999999999999993</v>
      </c>
      <c r="D151" s="1">
        <v>1299105</v>
      </c>
      <c r="E151">
        <v>111</v>
      </c>
      <c r="F151" t="s">
        <v>9</v>
      </c>
      <c r="G151" t="s">
        <v>127</v>
      </c>
      <c r="H151" t="s">
        <v>383</v>
      </c>
    </row>
    <row r="152" spans="1:8" x14ac:dyDescent="0.35">
      <c r="A152" t="s">
        <v>384</v>
      </c>
      <c r="B152">
        <v>2007</v>
      </c>
      <c r="C152">
        <v>8.1999999999999993</v>
      </c>
      <c r="D152" s="1">
        <v>744307</v>
      </c>
      <c r="E152">
        <v>118</v>
      </c>
      <c r="F152" t="s">
        <v>9</v>
      </c>
      <c r="G152" t="s">
        <v>385</v>
      </c>
      <c r="H152" t="s">
        <v>386</v>
      </c>
    </row>
    <row r="153" spans="1:8" x14ac:dyDescent="0.35">
      <c r="A153" t="s">
        <v>387</v>
      </c>
      <c r="B153">
        <v>1992</v>
      </c>
      <c r="C153">
        <v>8.1999999999999993</v>
      </c>
      <c r="D153" s="1">
        <v>466753</v>
      </c>
      <c r="E153">
        <v>130</v>
      </c>
      <c r="F153" t="s">
        <v>9</v>
      </c>
      <c r="G153" t="s">
        <v>150</v>
      </c>
      <c r="H153" t="s">
        <v>388</v>
      </c>
    </row>
    <row r="154" spans="1:8" x14ac:dyDescent="0.35">
      <c r="A154" t="s">
        <v>389</v>
      </c>
      <c r="B154">
        <v>2002</v>
      </c>
      <c r="C154">
        <v>8.1999999999999993</v>
      </c>
      <c r="D154" s="1">
        <v>1049366</v>
      </c>
      <c r="E154">
        <v>135</v>
      </c>
      <c r="F154" t="s">
        <v>16</v>
      </c>
      <c r="G154" t="s">
        <v>390</v>
      </c>
      <c r="H154" t="s">
        <v>391</v>
      </c>
    </row>
    <row r="155" spans="1:8" x14ac:dyDescent="0.35">
      <c r="A155" t="s">
        <v>392</v>
      </c>
      <c r="B155">
        <v>1948</v>
      </c>
      <c r="C155">
        <v>8.1999999999999993</v>
      </c>
      <c r="D155" s="1">
        <v>140941</v>
      </c>
      <c r="E155">
        <v>126</v>
      </c>
      <c r="F155" t="s">
        <v>22</v>
      </c>
      <c r="G155" t="s">
        <v>35</v>
      </c>
      <c r="H155" t="s">
        <v>393</v>
      </c>
    </row>
    <row r="156" spans="1:8" x14ac:dyDescent="0.35">
      <c r="A156" t="s">
        <v>394</v>
      </c>
      <c r="B156">
        <v>2005</v>
      </c>
      <c r="C156">
        <v>8.1999999999999993</v>
      </c>
      <c r="D156" s="1">
        <v>508081</v>
      </c>
      <c r="E156">
        <v>119</v>
      </c>
      <c r="F156" t="s">
        <v>49</v>
      </c>
      <c r="G156" t="s">
        <v>94</v>
      </c>
      <c r="H156" t="s">
        <v>395</v>
      </c>
    </row>
    <row r="157" spans="1:8" x14ac:dyDescent="0.35">
      <c r="A157" t="s">
        <v>396</v>
      </c>
      <c r="B157">
        <v>2003</v>
      </c>
      <c r="C157">
        <v>8.1999999999999993</v>
      </c>
      <c r="D157" s="1">
        <v>1200849</v>
      </c>
      <c r="E157">
        <v>100</v>
      </c>
      <c r="F157" t="s">
        <v>112</v>
      </c>
      <c r="G157" t="s">
        <v>211</v>
      </c>
      <c r="H157" t="s">
        <v>397</v>
      </c>
    </row>
    <row r="158" spans="1:8" x14ac:dyDescent="0.35">
      <c r="A158" t="s">
        <v>398</v>
      </c>
      <c r="B158">
        <v>2019</v>
      </c>
      <c r="C158">
        <v>8.1999999999999993</v>
      </c>
      <c r="D158" s="1">
        <v>234496</v>
      </c>
      <c r="E158">
        <v>96</v>
      </c>
      <c r="F158" t="s">
        <v>49</v>
      </c>
      <c r="G158" t="s">
        <v>211</v>
      </c>
    </row>
    <row r="159" spans="1:8" x14ac:dyDescent="0.35">
      <c r="A159" t="s">
        <v>399</v>
      </c>
      <c r="B159">
        <v>1961</v>
      </c>
      <c r="C159">
        <v>8.1999999999999993</v>
      </c>
      <c r="D159" s="1">
        <v>142437</v>
      </c>
      <c r="E159">
        <v>110</v>
      </c>
      <c r="F159" t="s">
        <v>22</v>
      </c>
      <c r="G159" t="s">
        <v>400</v>
      </c>
      <c r="H159" t="s">
        <v>401</v>
      </c>
    </row>
    <row r="160" spans="1:8" x14ac:dyDescent="0.35">
      <c r="A160" t="s">
        <v>402</v>
      </c>
      <c r="B160">
        <v>1963</v>
      </c>
      <c r="C160">
        <v>8.1999999999999993</v>
      </c>
      <c r="D160" s="1">
        <v>276420</v>
      </c>
      <c r="E160">
        <v>172</v>
      </c>
      <c r="F160" t="s">
        <v>22</v>
      </c>
      <c r="G160" t="s">
        <v>403</v>
      </c>
      <c r="H160" t="s">
        <v>404</v>
      </c>
    </row>
    <row r="161" spans="1:8" x14ac:dyDescent="0.35">
      <c r="A161" t="s">
        <v>405</v>
      </c>
      <c r="B161">
        <v>1980</v>
      </c>
      <c r="C161">
        <v>8.1999999999999993</v>
      </c>
      <c r="D161" s="1">
        <v>281198</v>
      </c>
      <c r="E161">
        <v>124</v>
      </c>
      <c r="F161" t="s">
        <v>49</v>
      </c>
      <c r="G161" t="s">
        <v>194</v>
      </c>
      <c r="H161" t="s">
        <v>406</v>
      </c>
    </row>
    <row r="162" spans="1:8" x14ac:dyDescent="0.35">
      <c r="A162" t="s">
        <v>407</v>
      </c>
      <c r="B162">
        <v>1975</v>
      </c>
      <c r="C162">
        <v>8.1999999999999993</v>
      </c>
      <c r="D162" s="1">
        <v>601468</v>
      </c>
      <c r="E162">
        <v>91</v>
      </c>
      <c r="F162" t="s">
        <v>49</v>
      </c>
      <c r="G162" t="s">
        <v>408</v>
      </c>
      <c r="H162" t="s">
        <v>274</v>
      </c>
    </row>
    <row r="163" spans="1:8" x14ac:dyDescent="0.35">
      <c r="A163" t="s">
        <v>409</v>
      </c>
      <c r="B163">
        <v>1954</v>
      </c>
      <c r="C163">
        <v>8.1</v>
      </c>
      <c r="D163" s="1">
        <v>203905</v>
      </c>
      <c r="E163">
        <v>105</v>
      </c>
      <c r="F163" t="s">
        <v>49</v>
      </c>
      <c r="G163" t="s">
        <v>64</v>
      </c>
      <c r="H163" t="s">
        <v>362</v>
      </c>
    </row>
    <row r="164" spans="1:8" x14ac:dyDescent="0.35">
      <c r="A164" t="s">
        <v>410</v>
      </c>
      <c r="B164">
        <v>2003</v>
      </c>
      <c r="C164">
        <v>8.4</v>
      </c>
      <c r="D164" s="1">
        <v>27811</v>
      </c>
      <c r="E164">
        <v>374</v>
      </c>
      <c r="F164" t="s">
        <v>9</v>
      </c>
      <c r="G164" t="s">
        <v>40</v>
      </c>
      <c r="H164" t="s">
        <v>411</v>
      </c>
    </row>
    <row r="165" spans="1:8" x14ac:dyDescent="0.35">
      <c r="A165" t="s">
        <v>412</v>
      </c>
      <c r="B165">
        <v>2025</v>
      </c>
      <c r="C165">
        <v>8.4</v>
      </c>
      <c r="D165" s="1">
        <v>66370</v>
      </c>
      <c r="E165">
        <v>155</v>
      </c>
      <c r="F165" t="s">
        <v>9</v>
      </c>
      <c r="G165" t="s">
        <v>134</v>
      </c>
      <c r="H165" t="s">
        <v>413</v>
      </c>
    </row>
    <row r="166" spans="1:8" x14ac:dyDescent="0.35">
      <c r="A166" t="s">
        <v>414</v>
      </c>
      <c r="B166">
        <v>2010</v>
      </c>
      <c r="C166">
        <v>8.1999999999999993</v>
      </c>
      <c r="D166" s="1">
        <v>240984</v>
      </c>
      <c r="E166">
        <v>129</v>
      </c>
      <c r="F166" t="s">
        <v>9</v>
      </c>
      <c r="G166" t="s">
        <v>415</v>
      </c>
      <c r="H166" t="s">
        <v>416</v>
      </c>
    </row>
    <row r="167" spans="1:8" x14ac:dyDescent="0.35">
      <c r="A167" t="s">
        <v>417</v>
      </c>
      <c r="B167">
        <v>1940</v>
      </c>
      <c r="C167">
        <v>8.1999999999999993</v>
      </c>
      <c r="D167" s="1">
        <v>355221</v>
      </c>
      <c r="E167">
        <v>238</v>
      </c>
      <c r="F167" t="s">
        <v>112</v>
      </c>
      <c r="G167" t="s">
        <v>139</v>
      </c>
      <c r="H167" t="s">
        <v>418</v>
      </c>
    </row>
    <row r="168" spans="1:8" x14ac:dyDescent="0.35">
      <c r="A168" t="s">
        <v>419</v>
      </c>
      <c r="B168">
        <v>1974</v>
      </c>
      <c r="C168">
        <v>8.1</v>
      </c>
      <c r="D168" s="1">
        <v>375550</v>
      </c>
      <c r="E168">
        <v>130</v>
      </c>
      <c r="F168" t="s">
        <v>9</v>
      </c>
      <c r="G168" t="s">
        <v>155</v>
      </c>
      <c r="H168" t="s">
        <v>420</v>
      </c>
    </row>
    <row r="169" spans="1:8" x14ac:dyDescent="0.35">
      <c r="A169" t="s">
        <v>421</v>
      </c>
      <c r="B169">
        <v>1998</v>
      </c>
      <c r="C169">
        <v>8.1</v>
      </c>
      <c r="D169" s="1">
        <v>648246</v>
      </c>
      <c r="E169">
        <v>107</v>
      </c>
      <c r="F169" t="s">
        <v>9</v>
      </c>
      <c r="G169" t="s">
        <v>321</v>
      </c>
      <c r="H169" t="s">
        <v>422</v>
      </c>
    </row>
    <row r="170" spans="1:8" x14ac:dyDescent="0.35">
      <c r="A170" t="s">
        <v>423</v>
      </c>
      <c r="B170">
        <v>2006</v>
      </c>
      <c r="C170">
        <v>8.1</v>
      </c>
      <c r="D170" s="1">
        <v>1241984</v>
      </c>
      <c r="E170">
        <v>132</v>
      </c>
      <c r="F170" t="s">
        <v>9</v>
      </c>
      <c r="G170" t="s">
        <v>424</v>
      </c>
      <c r="H170" t="s">
        <v>425</v>
      </c>
    </row>
    <row r="171" spans="1:8" x14ac:dyDescent="0.35">
      <c r="A171" t="s">
        <v>426</v>
      </c>
      <c r="B171">
        <v>2002</v>
      </c>
      <c r="C171">
        <v>8.1</v>
      </c>
      <c r="D171" s="1">
        <v>1225671</v>
      </c>
      <c r="E171">
        <v>141</v>
      </c>
      <c r="F171" t="s">
        <v>16</v>
      </c>
      <c r="G171" t="s">
        <v>56</v>
      </c>
      <c r="H171" t="s">
        <v>427</v>
      </c>
    </row>
    <row r="172" spans="1:8" x14ac:dyDescent="0.35">
      <c r="A172" t="s">
        <v>428</v>
      </c>
      <c r="B172">
        <v>2015</v>
      </c>
      <c r="C172">
        <v>8.1</v>
      </c>
      <c r="D172" s="1">
        <v>907637</v>
      </c>
      <c r="E172">
        <v>95</v>
      </c>
      <c r="F172" t="s">
        <v>49</v>
      </c>
      <c r="G172" t="s">
        <v>211</v>
      </c>
      <c r="H172" t="s">
        <v>429</v>
      </c>
    </row>
    <row r="173" spans="1:8" x14ac:dyDescent="0.35">
      <c r="A173" t="s">
        <v>430</v>
      </c>
      <c r="B173">
        <v>1951</v>
      </c>
      <c r="C173">
        <v>8.1</v>
      </c>
      <c r="D173" s="1">
        <v>195645</v>
      </c>
      <c r="E173">
        <v>88</v>
      </c>
      <c r="F173" t="s">
        <v>22</v>
      </c>
      <c r="G173" t="s">
        <v>64</v>
      </c>
      <c r="H173" t="s">
        <v>195</v>
      </c>
    </row>
    <row r="174" spans="1:8" x14ac:dyDescent="0.35">
      <c r="A174" t="s">
        <v>431</v>
      </c>
      <c r="B174">
        <v>2017</v>
      </c>
      <c r="C174">
        <v>8.1</v>
      </c>
      <c r="D174" s="1">
        <v>603567</v>
      </c>
      <c r="E174">
        <v>115</v>
      </c>
      <c r="F174" t="s">
        <v>9</v>
      </c>
      <c r="G174" t="s">
        <v>310</v>
      </c>
      <c r="H174" t="s">
        <v>432</v>
      </c>
    </row>
    <row r="175" spans="1:8" x14ac:dyDescent="0.35">
      <c r="A175" t="s">
        <v>433</v>
      </c>
      <c r="B175">
        <v>1996</v>
      </c>
      <c r="C175">
        <v>8.1</v>
      </c>
      <c r="D175" s="1">
        <v>766474</v>
      </c>
      <c r="E175">
        <v>93</v>
      </c>
      <c r="F175" t="s">
        <v>9</v>
      </c>
      <c r="G175" t="s">
        <v>13</v>
      </c>
      <c r="H175" t="s">
        <v>434</v>
      </c>
    </row>
    <row r="176" spans="1:8" x14ac:dyDescent="0.35">
      <c r="A176" t="s">
        <v>435</v>
      </c>
      <c r="B176">
        <v>1957</v>
      </c>
      <c r="C176">
        <v>8.1</v>
      </c>
      <c r="D176" s="1">
        <v>247890</v>
      </c>
      <c r="E176">
        <v>161</v>
      </c>
      <c r="F176" t="s">
        <v>49</v>
      </c>
      <c r="G176" t="s">
        <v>191</v>
      </c>
      <c r="H176" t="s">
        <v>436</v>
      </c>
    </row>
    <row r="177" spans="1:8" x14ac:dyDescent="0.35">
      <c r="A177" t="s">
        <v>437</v>
      </c>
      <c r="B177">
        <v>2011</v>
      </c>
      <c r="C177">
        <v>8.1</v>
      </c>
      <c r="D177" s="1">
        <v>1039009</v>
      </c>
      <c r="E177">
        <v>130</v>
      </c>
      <c r="F177" t="s">
        <v>16</v>
      </c>
      <c r="G177" t="s">
        <v>438</v>
      </c>
      <c r="H177" t="s">
        <v>439</v>
      </c>
    </row>
    <row r="178" spans="1:8" x14ac:dyDescent="0.35">
      <c r="A178" t="s">
        <v>440</v>
      </c>
      <c r="B178">
        <v>1989</v>
      </c>
      <c r="C178">
        <v>8.1</v>
      </c>
      <c r="D178" s="1">
        <v>645268</v>
      </c>
      <c r="E178">
        <v>128</v>
      </c>
      <c r="F178" t="s">
        <v>49</v>
      </c>
      <c r="G178" t="s">
        <v>142</v>
      </c>
      <c r="H178" t="s">
        <v>441</v>
      </c>
    </row>
    <row r="179" spans="1:8" x14ac:dyDescent="0.35">
      <c r="A179" t="s">
        <v>442</v>
      </c>
      <c r="B179">
        <v>1975</v>
      </c>
      <c r="C179">
        <v>8.5</v>
      </c>
      <c r="D179" s="1">
        <v>30134</v>
      </c>
      <c r="E179">
        <v>95</v>
      </c>
      <c r="F179" t="s">
        <v>22</v>
      </c>
      <c r="G179" t="s">
        <v>443</v>
      </c>
    </row>
    <row r="180" spans="1:8" x14ac:dyDescent="0.35">
      <c r="A180" t="s">
        <v>444</v>
      </c>
      <c r="B180">
        <v>2024</v>
      </c>
      <c r="C180">
        <v>8.1999999999999993</v>
      </c>
      <c r="D180" s="1">
        <v>217407</v>
      </c>
      <c r="E180">
        <v>102</v>
      </c>
      <c r="F180" t="s">
        <v>49</v>
      </c>
      <c r="G180" t="s">
        <v>94</v>
      </c>
      <c r="H180" t="s">
        <v>445</v>
      </c>
    </row>
    <row r="181" spans="1:8" x14ac:dyDescent="0.35">
      <c r="A181" t="s">
        <v>446</v>
      </c>
      <c r="B181">
        <v>2011</v>
      </c>
      <c r="C181">
        <v>8.1</v>
      </c>
      <c r="D181" s="1">
        <v>526794</v>
      </c>
      <c r="E181">
        <v>140</v>
      </c>
      <c r="F181" t="s">
        <v>16</v>
      </c>
      <c r="G181" t="s">
        <v>447</v>
      </c>
      <c r="H181" t="s">
        <v>448</v>
      </c>
    </row>
    <row r="182" spans="1:8" x14ac:dyDescent="0.35">
      <c r="A182" t="s">
        <v>449</v>
      </c>
      <c r="B182">
        <v>1996</v>
      </c>
      <c r="C182">
        <v>8.1</v>
      </c>
      <c r="D182" s="1">
        <v>783492</v>
      </c>
      <c r="E182">
        <v>98</v>
      </c>
      <c r="F182" t="s">
        <v>9</v>
      </c>
      <c r="G182" t="s">
        <v>43</v>
      </c>
      <c r="H182" t="s">
        <v>450</v>
      </c>
    </row>
    <row r="183" spans="1:8" x14ac:dyDescent="0.35">
      <c r="A183" t="s">
        <v>451</v>
      </c>
      <c r="B183">
        <v>1975</v>
      </c>
      <c r="C183">
        <v>8.1</v>
      </c>
      <c r="D183" s="1">
        <v>203027</v>
      </c>
      <c r="E183">
        <v>185</v>
      </c>
      <c r="F183" t="s">
        <v>49</v>
      </c>
      <c r="G183" t="s">
        <v>191</v>
      </c>
      <c r="H183" t="s">
        <v>452</v>
      </c>
    </row>
    <row r="184" spans="1:8" x14ac:dyDescent="0.35">
      <c r="A184" t="s">
        <v>453</v>
      </c>
      <c r="B184">
        <v>1980</v>
      </c>
      <c r="C184">
        <v>8.1</v>
      </c>
      <c r="D184" s="1">
        <v>408711</v>
      </c>
      <c r="E184">
        <v>129</v>
      </c>
      <c r="F184" t="s">
        <v>9</v>
      </c>
      <c r="G184" t="s">
        <v>454</v>
      </c>
      <c r="H184" t="s">
        <v>455</v>
      </c>
    </row>
    <row r="185" spans="1:8" x14ac:dyDescent="0.35">
      <c r="A185" t="s">
        <v>456</v>
      </c>
      <c r="B185">
        <v>1959</v>
      </c>
      <c r="C185">
        <v>8.1</v>
      </c>
      <c r="D185" s="1">
        <v>270381</v>
      </c>
      <c r="E185">
        <v>212</v>
      </c>
      <c r="F185" t="s">
        <v>112</v>
      </c>
      <c r="G185" t="s">
        <v>457</v>
      </c>
      <c r="H185" t="s">
        <v>458</v>
      </c>
    </row>
    <row r="186" spans="1:8" x14ac:dyDescent="0.35">
      <c r="A186" t="s">
        <v>459</v>
      </c>
      <c r="B186">
        <v>2005</v>
      </c>
      <c r="C186">
        <v>8.1</v>
      </c>
      <c r="D186" s="1">
        <v>763230</v>
      </c>
      <c r="E186">
        <v>132</v>
      </c>
      <c r="F186" t="s">
        <v>16</v>
      </c>
      <c r="G186" t="s">
        <v>460</v>
      </c>
      <c r="H186" t="s">
        <v>461</v>
      </c>
    </row>
    <row r="187" spans="1:8" x14ac:dyDescent="0.35">
      <c r="A187" t="s">
        <v>462</v>
      </c>
      <c r="B187">
        <v>2015</v>
      </c>
      <c r="C187">
        <v>8.1</v>
      </c>
      <c r="D187" s="1">
        <v>1200736</v>
      </c>
      <c r="E187">
        <v>120</v>
      </c>
      <c r="F187" t="s">
        <v>9</v>
      </c>
      <c r="G187" t="s">
        <v>46</v>
      </c>
      <c r="H187" t="s">
        <v>463</v>
      </c>
    </row>
    <row r="188" spans="1:8" x14ac:dyDescent="0.35">
      <c r="A188" t="s">
        <v>464</v>
      </c>
      <c r="B188">
        <v>1999</v>
      </c>
      <c r="C188">
        <v>8.1999999999999993</v>
      </c>
      <c r="D188" s="1">
        <v>89440</v>
      </c>
      <c r="E188">
        <v>89</v>
      </c>
      <c r="F188" t="s">
        <v>49</v>
      </c>
      <c r="G188" t="s">
        <v>465</v>
      </c>
      <c r="H188" t="s">
        <v>466</v>
      </c>
    </row>
    <row r="189" spans="1:8" x14ac:dyDescent="0.35">
      <c r="A189" t="s">
        <v>467</v>
      </c>
      <c r="B189">
        <v>2016</v>
      </c>
      <c r="C189">
        <v>8.1</v>
      </c>
      <c r="D189" s="1">
        <v>674696</v>
      </c>
      <c r="E189">
        <v>139</v>
      </c>
      <c r="F189" t="s">
        <v>9</v>
      </c>
      <c r="G189" t="s">
        <v>28</v>
      </c>
      <c r="H189" t="s">
        <v>468</v>
      </c>
    </row>
    <row r="190" spans="1:8" x14ac:dyDescent="0.35">
      <c r="A190" t="s">
        <v>469</v>
      </c>
      <c r="B190">
        <v>1990</v>
      </c>
      <c r="C190">
        <v>8.1</v>
      </c>
      <c r="D190" s="1">
        <v>428023</v>
      </c>
      <c r="E190">
        <v>86</v>
      </c>
      <c r="F190" t="s">
        <v>112</v>
      </c>
      <c r="G190" t="s">
        <v>211</v>
      </c>
      <c r="H190" t="s">
        <v>470</v>
      </c>
    </row>
    <row r="191" spans="1:8" x14ac:dyDescent="0.35">
      <c r="A191" t="s">
        <v>471</v>
      </c>
      <c r="B191">
        <v>2009</v>
      </c>
      <c r="C191">
        <v>8.1</v>
      </c>
      <c r="D191" s="1">
        <v>858707</v>
      </c>
      <c r="E191">
        <v>116</v>
      </c>
      <c r="F191" t="s">
        <v>9</v>
      </c>
      <c r="G191" t="s">
        <v>10</v>
      </c>
      <c r="H191" t="s">
        <v>472</v>
      </c>
    </row>
    <row r="192" spans="1:8" x14ac:dyDescent="0.35">
      <c r="A192" t="s">
        <v>473</v>
      </c>
      <c r="B192">
        <v>2013</v>
      </c>
      <c r="C192">
        <v>8.1</v>
      </c>
      <c r="D192" s="1">
        <v>783533</v>
      </c>
      <c r="E192">
        <v>134</v>
      </c>
      <c r="F192" t="s">
        <v>9</v>
      </c>
      <c r="G192" t="s">
        <v>28</v>
      </c>
      <c r="H192" t="s">
        <v>474</v>
      </c>
    </row>
    <row r="193" spans="1:8" x14ac:dyDescent="0.35">
      <c r="A193" t="s">
        <v>475</v>
      </c>
      <c r="B193">
        <v>2007</v>
      </c>
      <c r="C193">
        <v>8.1</v>
      </c>
      <c r="D193" s="1">
        <v>935027</v>
      </c>
      <c r="E193">
        <v>111</v>
      </c>
      <c r="F193" t="s">
        <v>112</v>
      </c>
      <c r="G193" t="s">
        <v>211</v>
      </c>
      <c r="H193" t="s">
        <v>476</v>
      </c>
    </row>
    <row r="194" spans="1:8" x14ac:dyDescent="0.35">
      <c r="A194" t="s">
        <v>477</v>
      </c>
      <c r="B194">
        <v>2014</v>
      </c>
      <c r="C194">
        <v>8.1</v>
      </c>
      <c r="D194" s="1">
        <v>963687</v>
      </c>
      <c r="E194">
        <v>99</v>
      </c>
      <c r="F194" t="s">
        <v>9</v>
      </c>
      <c r="G194" t="s">
        <v>142</v>
      </c>
      <c r="H194" t="s">
        <v>478</v>
      </c>
    </row>
    <row r="195" spans="1:8" x14ac:dyDescent="0.35">
      <c r="A195" t="s">
        <v>479</v>
      </c>
      <c r="B195">
        <v>1995</v>
      </c>
      <c r="C195">
        <v>8.1</v>
      </c>
      <c r="D195" s="1">
        <v>374563</v>
      </c>
      <c r="E195">
        <v>101</v>
      </c>
      <c r="F195" t="s">
        <v>9</v>
      </c>
      <c r="G195" t="s">
        <v>84</v>
      </c>
      <c r="H195" t="s">
        <v>480</v>
      </c>
    </row>
    <row r="196" spans="1:8" x14ac:dyDescent="0.35">
      <c r="A196" t="s">
        <v>481</v>
      </c>
      <c r="B196">
        <v>2003</v>
      </c>
      <c r="C196">
        <v>8.1</v>
      </c>
      <c r="D196" s="1">
        <v>263135</v>
      </c>
      <c r="E196">
        <v>131</v>
      </c>
      <c r="F196" t="s">
        <v>22</v>
      </c>
      <c r="G196" t="s">
        <v>64</v>
      </c>
      <c r="H196" t="s">
        <v>482</v>
      </c>
    </row>
    <row r="197" spans="1:8" x14ac:dyDescent="0.35">
      <c r="A197" t="s">
        <v>483</v>
      </c>
      <c r="B197">
        <v>1982</v>
      </c>
      <c r="C197">
        <v>8.1</v>
      </c>
      <c r="D197" s="1">
        <v>877911</v>
      </c>
      <c r="E197">
        <v>117</v>
      </c>
      <c r="F197" t="s">
        <v>9</v>
      </c>
      <c r="G197" t="s">
        <v>424</v>
      </c>
      <c r="H197" t="s">
        <v>484</v>
      </c>
    </row>
    <row r="198" spans="1:8" x14ac:dyDescent="0.35">
      <c r="A198" t="s">
        <v>485</v>
      </c>
      <c r="B198">
        <v>2010</v>
      </c>
      <c r="C198">
        <v>8.1</v>
      </c>
      <c r="D198" s="1">
        <v>887580</v>
      </c>
      <c r="E198">
        <v>98</v>
      </c>
      <c r="F198" t="s">
        <v>49</v>
      </c>
      <c r="G198" t="s">
        <v>134</v>
      </c>
      <c r="H198" t="s">
        <v>486</v>
      </c>
    </row>
    <row r="199" spans="1:8" x14ac:dyDescent="0.35">
      <c r="A199" t="s">
        <v>487</v>
      </c>
      <c r="B199">
        <v>2021</v>
      </c>
      <c r="C199">
        <v>8.1</v>
      </c>
      <c r="D199" s="1">
        <v>1007947</v>
      </c>
      <c r="E199">
        <v>148</v>
      </c>
      <c r="F199" t="s">
        <v>16</v>
      </c>
      <c r="G199" t="s">
        <v>50</v>
      </c>
      <c r="H199" t="s">
        <v>488</v>
      </c>
    </row>
    <row r="200" spans="1:8" x14ac:dyDescent="0.35">
      <c r="A200" t="s">
        <v>489</v>
      </c>
      <c r="B200">
        <v>2014</v>
      </c>
      <c r="C200">
        <v>8.1</v>
      </c>
      <c r="D200" s="1">
        <v>1161682</v>
      </c>
      <c r="E200">
        <v>149</v>
      </c>
      <c r="F200" t="s">
        <v>9</v>
      </c>
      <c r="G200" t="s">
        <v>155</v>
      </c>
      <c r="H200" t="s">
        <v>490</v>
      </c>
    </row>
    <row r="201" spans="1:8" x14ac:dyDescent="0.35">
      <c r="A201" t="s">
        <v>491</v>
      </c>
      <c r="B201">
        <v>2001</v>
      </c>
      <c r="C201">
        <v>8.1</v>
      </c>
      <c r="D201" s="1">
        <v>1068117</v>
      </c>
      <c r="E201">
        <v>92</v>
      </c>
      <c r="F201" t="s">
        <v>112</v>
      </c>
      <c r="G201" t="s">
        <v>211</v>
      </c>
      <c r="H201" t="s">
        <v>492</v>
      </c>
    </row>
    <row r="202" spans="1:8" x14ac:dyDescent="0.35">
      <c r="A202" t="s">
        <v>493</v>
      </c>
      <c r="B202">
        <v>1975</v>
      </c>
      <c r="C202">
        <v>8.1</v>
      </c>
      <c r="D202" s="1">
        <v>733019</v>
      </c>
      <c r="E202">
        <v>124</v>
      </c>
      <c r="F202" t="s">
        <v>49</v>
      </c>
      <c r="G202" t="s">
        <v>494</v>
      </c>
      <c r="H202" t="s">
        <v>495</v>
      </c>
    </row>
    <row r="203" spans="1:8" x14ac:dyDescent="0.35">
      <c r="A203" t="s">
        <v>496</v>
      </c>
      <c r="B203">
        <v>1994</v>
      </c>
      <c r="C203">
        <v>8.1</v>
      </c>
      <c r="D203" s="1">
        <v>201918</v>
      </c>
      <c r="E203">
        <v>133</v>
      </c>
      <c r="F203" t="s">
        <v>9</v>
      </c>
      <c r="G203" t="s">
        <v>56</v>
      </c>
      <c r="H203" t="s">
        <v>497</v>
      </c>
    </row>
    <row r="204" spans="1:8" x14ac:dyDescent="0.35">
      <c r="A204" t="s">
        <v>498</v>
      </c>
      <c r="B204">
        <v>2019</v>
      </c>
      <c r="C204">
        <v>8.1</v>
      </c>
      <c r="D204" s="1">
        <v>565191</v>
      </c>
      <c r="E204">
        <v>152</v>
      </c>
      <c r="F204" t="s">
        <v>16</v>
      </c>
      <c r="G204" t="s">
        <v>331</v>
      </c>
      <c r="H204" t="s">
        <v>499</v>
      </c>
    </row>
    <row r="205" spans="1:8" x14ac:dyDescent="0.35">
      <c r="A205" t="s">
        <v>500</v>
      </c>
      <c r="B205">
        <v>2014</v>
      </c>
      <c r="C205">
        <v>8.1</v>
      </c>
      <c r="D205" s="1">
        <v>236910</v>
      </c>
      <c r="E205">
        <v>122</v>
      </c>
      <c r="F205" t="s">
        <v>9</v>
      </c>
      <c r="G205" t="s">
        <v>501</v>
      </c>
      <c r="H205" t="s">
        <v>502</v>
      </c>
    </row>
    <row r="206" spans="1:8" x14ac:dyDescent="0.35">
      <c r="A206" t="s">
        <v>503</v>
      </c>
      <c r="B206">
        <v>1925</v>
      </c>
      <c r="C206">
        <v>8.1</v>
      </c>
      <c r="D206" s="1">
        <v>127706</v>
      </c>
      <c r="E206">
        <v>95</v>
      </c>
      <c r="F206" t="s">
        <v>22</v>
      </c>
      <c r="G206" t="s">
        <v>504</v>
      </c>
      <c r="H206" t="s">
        <v>505</v>
      </c>
    </row>
    <row r="207" spans="1:8" x14ac:dyDescent="0.35">
      <c r="A207" t="s">
        <v>506</v>
      </c>
      <c r="B207">
        <v>1924</v>
      </c>
      <c r="C207">
        <v>8.1</v>
      </c>
      <c r="D207" s="1">
        <v>65275</v>
      </c>
      <c r="E207">
        <v>45</v>
      </c>
      <c r="F207" t="s">
        <v>22</v>
      </c>
      <c r="G207" t="s">
        <v>507</v>
      </c>
      <c r="H207" t="s">
        <v>508</v>
      </c>
    </row>
    <row r="208" spans="1:8" x14ac:dyDescent="0.35">
      <c r="A208" t="s">
        <v>509</v>
      </c>
      <c r="B208">
        <v>2009</v>
      </c>
      <c r="C208">
        <v>8.1</v>
      </c>
      <c r="D208" s="1">
        <v>201032</v>
      </c>
      <c r="E208">
        <v>92</v>
      </c>
      <c r="F208" t="s">
        <v>22</v>
      </c>
      <c r="G208" t="s">
        <v>510</v>
      </c>
      <c r="H208" t="s">
        <v>511</v>
      </c>
    </row>
    <row r="209" spans="1:8" x14ac:dyDescent="0.35">
      <c r="A209" t="s">
        <v>512</v>
      </c>
      <c r="B209">
        <v>1979</v>
      </c>
      <c r="C209">
        <v>8.1</v>
      </c>
      <c r="D209" s="1">
        <v>385457</v>
      </c>
      <c r="E209">
        <v>183</v>
      </c>
      <c r="F209" t="s">
        <v>9</v>
      </c>
      <c r="G209" t="s">
        <v>76</v>
      </c>
      <c r="H209" t="s">
        <v>513</v>
      </c>
    </row>
    <row r="210" spans="1:8" x14ac:dyDescent="0.35">
      <c r="A210" t="s">
        <v>514</v>
      </c>
      <c r="B210">
        <v>1955</v>
      </c>
      <c r="C210">
        <v>8.1</v>
      </c>
      <c r="D210" s="1">
        <v>73155</v>
      </c>
      <c r="E210">
        <v>156</v>
      </c>
      <c r="F210" t="s">
        <v>22</v>
      </c>
      <c r="G210" t="s">
        <v>403</v>
      </c>
      <c r="H210" t="s">
        <v>117</v>
      </c>
    </row>
    <row r="211" spans="1:8" x14ac:dyDescent="0.35">
      <c r="A211" t="s">
        <v>515</v>
      </c>
      <c r="B211">
        <v>1927</v>
      </c>
      <c r="C211">
        <v>8.1</v>
      </c>
      <c r="D211" s="1">
        <v>105801</v>
      </c>
      <c r="E211">
        <v>78</v>
      </c>
      <c r="F211" t="s">
        <v>22</v>
      </c>
      <c r="G211" t="s">
        <v>516</v>
      </c>
      <c r="H211" t="s">
        <v>508</v>
      </c>
    </row>
    <row r="212" spans="1:8" x14ac:dyDescent="0.35">
      <c r="A212" t="s">
        <v>517</v>
      </c>
      <c r="B212">
        <v>2017</v>
      </c>
      <c r="C212">
        <v>8.1</v>
      </c>
      <c r="D212" s="1">
        <v>920531</v>
      </c>
      <c r="E212">
        <v>137</v>
      </c>
      <c r="F212" t="s">
        <v>9</v>
      </c>
      <c r="G212" t="s">
        <v>424</v>
      </c>
      <c r="H212" t="s">
        <v>518</v>
      </c>
    </row>
    <row r="213" spans="1:8" x14ac:dyDescent="0.35">
      <c r="A213" t="s">
        <v>519</v>
      </c>
      <c r="B213">
        <v>1976</v>
      </c>
      <c r="C213">
        <v>8.1</v>
      </c>
      <c r="D213" s="1">
        <v>684714</v>
      </c>
      <c r="E213">
        <v>120</v>
      </c>
      <c r="F213" t="s">
        <v>49</v>
      </c>
      <c r="G213" t="s">
        <v>460</v>
      </c>
      <c r="H213" t="s">
        <v>520</v>
      </c>
    </row>
    <row r="214" spans="1:8" x14ac:dyDescent="0.35">
      <c r="A214" t="s">
        <v>521</v>
      </c>
      <c r="B214">
        <v>1939</v>
      </c>
      <c r="C214">
        <v>8.1</v>
      </c>
      <c r="D214" s="1">
        <v>129062</v>
      </c>
      <c r="E214">
        <v>129</v>
      </c>
      <c r="F214" t="s">
        <v>22</v>
      </c>
      <c r="G214" t="s">
        <v>142</v>
      </c>
      <c r="H214" t="s">
        <v>522</v>
      </c>
    </row>
    <row r="215" spans="1:8" x14ac:dyDescent="0.35">
      <c r="A215" t="s">
        <v>523</v>
      </c>
      <c r="B215">
        <v>1972</v>
      </c>
      <c r="C215">
        <v>8.1</v>
      </c>
      <c r="D215" s="1">
        <v>77208</v>
      </c>
      <c r="E215">
        <v>137</v>
      </c>
      <c r="F215" t="s">
        <v>22</v>
      </c>
      <c r="G215" t="s">
        <v>10</v>
      </c>
      <c r="H215" t="s">
        <v>524</v>
      </c>
    </row>
    <row r="216" spans="1:8" x14ac:dyDescent="0.35">
      <c r="A216" t="s">
        <v>525</v>
      </c>
      <c r="B216">
        <v>1954</v>
      </c>
      <c r="C216">
        <v>8.1</v>
      </c>
      <c r="D216" s="1">
        <v>177149</v>
      </c>
      <c r="E216">
        <v>108</v>
      </c>
      <c r="F216" t="s">
        <v>22</v>
      </c>
      <c r="G216" t="s">
        <v>43</v>
      </c>
      <c r="H216" t="s">
        <v>508</v>
      </c>
    </row>
    <row r="217" spans="1:8" x14ac:dyDescent="0.35">
      <c r="A217" t="s">
        <v>526</v>
      </c>
      <c r="B217">
        <v>2003</v>
      </c>
      <c r="C217">
        <v>8.1</v>
      </c>
      <c r="D217" s="1">
        <v>1316491</v>
      </c>
      <c r="E217">
        <v>143</v>
      </c>
      <c r="F217" t="s">
        <v>16</v>
      </c>
      <c r="G217" t="s">
        <v>50</v>
      </c>
      <c r="H217" t="s">
        <v>527</v>
      </c>
    </row>
    <row r="218" spans="1:8" x14ac:dyDescent="0.35">
      <c r="A218" t="s">
        <v>528</v>
      </c>
      <c r="B218">
        <v>1959</v>
      </c>
      <c r="C218">
        <v>8.1</v>
      </c>
      <c r="D218" s="1">
        <v>124052</v>
      </c>
      <c r="E218">
        <v>92</v>
      </c>
      <c r="F218" t="s">
        <v>22</v>
      </c>
      <c r="G218" t="s">
        <v>40</v>
      </c>
      <c r="H218" t="s">
        <v>529</v>
      </c>
    </row>
    <row r="219" spans="1:8" x14ac:dyDescent="0.35">
      <c r="A219" t="s">
        <v>530</v>
      </c>
      <c r="B219">
        <v>2015</v>
      </c>
      <c r="C219">
        <v>8.1</v>
      </c>
      <c r="D219" s="1">
        <v>532914</v>
      </c>
      <c r="E219">
        <v>129</v>
      </c>
      <c r="F219" t="s">
        <v>9</v>
      </c>
      <c r="G219" t="s">
        <v>56</v>
      </c>
      <c r="H219" t="s">
        <v>531</v>
      </c>
    </row>
    <row r="220" spans="1:8" x14ac:dyDescent="0.35">
      <c r="A220" t="s">
        <v>532</v>
      </c>
      <c r="B220">
        <v>2016</v>
      </c>
      <c r="C220">
        <v>8.1999999999999993</v>
      </c>
      <c r="D220" s="1">
        <v>138542</v>
      </c>
      <c r="E220">
        <v>130</v>
      </c>
      <c r="F220" t="s">
        <v>22</v>
      </c>
      <c r="G220" t="s">
        <v>533</v>
      </c>
      <c r="H220" t="s">
        <v>534</v>
      </c>
    </row>
    <row r="221" spans="1:8" x14ac:dyDescent="0.35">
      <c r="A221" t="s">
        <v>535</v>
      </c>
      <c r="B221">
        <v>1996</v>
      </c>
      <c r="C221">
        <v>8.1</v>
      </c>
      <c r="D221" s="1">
        <v>224218</v>
      </c>
      <c r="E221">
        <v>98</v>
      </c>
      <c r="F221" t="s">
        <v>22</v>
      </c>
      <c r="G221" t="s">
        <v>13</v>
      </c>
      <c r="H221" t="s">
        <v>536</v>
      </c>
    </row>
    <row r="222" spans="1:8" x14ac:dyDescent="0.35">
      <c r="A222" t="s">
        <v>537</v>
      </c>
      <c r="B222">
        <v>1984</v>
      </c>
      <c r="C222">
        <v>8.1</v>
      </c>
      <c r="D222" s="1">
        <v>998811</v>
      </c>
      <c r="E222">
        <v>107</v>
      </c>
      <c r="F222" t="s">
        <v>9</v>
      </c>
      <c r="G222" t="s">
        <v>46</v>
      </c>
      <c r="H222" t="s">
        <v>538</v>
      </c>
    </row>
    <row r="223" spans="1:8" x14ac:dyDescent="0.35">
      <c r="A223" t="s">
        <v>539</v>
      </c>
      <c r="B223">
        <v>2024</v>
      </c>
      <c r="C223">
        <v>8.3000000000000007</v>
      </c>
      <c r="D223" s="1">
        <v>80431</v>
      </c>
      <c r="E223">
        <v>141</v>
      </c>
      <c r="F223" t="s">
        <v>22</v>
      </c>
      <c r="G223" t="s">
        <v>17</v>
      </c>
      <c r="H223" t="s">
        <v>540</v>
      </c>
    </row>
    <row r="224" spans="1:8" x14ac:dyDescent="0.35">
      <c r="A224" t="s">
        <v>541</v>
      </c>
      <c r="B224">
        <v>1950</v>
      </c>
      <c r="C224">
        <v>8.1</v>
      </c>
      <c r="D224" s="1">
        <v>194653</v>
      </c>
      <c r="E224">
        <v>104</v>
      </c>
      <c r="F224" t="s">
        <v>22</v>
      </c>
      <c r="G224" t="s">
        <v>542</v>
      </c>
      <c r="H224" t="s">
        <v>543</v>
      </c>
    </row>
    <row r="225" spans="1:8" x14ac:dyDescent="0.35">
      <c r="A225" t="s">
        <v>544</v>
      </c>
      <c r="B225">
        <v>1965</v>
      </c>
      <c r="C225">
        <v>8.1</v>
      </c>
      <c r="D225" s="1">
        <v>289886</v>
      </c>
      <c r="E225">
        <v>174</v>
      </c>
      <c r="F225" t="s">
        <v>112</v>
      </c>
      <c r="G225" t="s">
        <v>545</v>
      </c>
      <c r="H225" t="s">
        <v>546</v>
      </c>
    </row>
    <row r="226" spans="1:8" x14ac:dyDescent="0.35">
      <c r="A226" t="s">
        <v>547</v>
      </c>
      <c r="B226">
        <v>2021</v>
      </c>
      <c r="C226">
        <v>8.6</v>
      </c>
      <c r="D226" s="1">
        <v>233427</v>
      </c>
      <c r="E226">
        <v>164</v>
      </c>
      <c r="F226" t="s">
        <v>22</v>
      </c>
      <c r="G226" t="s">
        <v>13</v>
      </c>
    </row>
    <row r="227" spans="1:8" x14ac:dyDescent="0.35">
      <c r="A227" t="s">
        <v>548</v>
      </c>
      <c r="B227">
        <v>1998</v>
      </c>
      <c r="C227">
        <v>8.1</v>
      </c>
      <c r="D227" s="1">
        <v>913539</v>
      </c>
      <c r="E227">
        <v>117</v>
      </c>
      <c r="F227" t="s">
        <v>9</v>
      </c>
      <c r="G227" t="s">
        <v>321</v>
      </c>
      <c r="H227" t="s">
        <v>549</v>
      </c>
    </row>
    <row r="228" spans="1:8" x14ac:dyDescent="0.35">
      <c r="A228" t="s">
        <v>550</v>
      </c>
      <c r="B228">
        <v>1947</v>
      </c>
      <c r="C228">
        <v>8.1</v>
      </c>
      <c r="D228" s="1">
        <v>77141</v>
      </c>
      <c r="E228">
        <v>170</v>
      </c>
      <c r="F228" t="s">
        <v>22</v>
      </c>
      <c r="G228" t="s">
        <v>139</v>
      </c>
      <c r="H228" t="s">
        <v>551</v>
      </c>
    </row>
    <row r="229" spans="1:8" x14ac:dyDescent="0.35">
      <c r="A229" t="s">
        <v>552</v>
      </c>
      <c r="B229">
        <v>1958</v>
      </c>
      <c r="C229">
        <v>8.1</v>
      </c>
      <c r="D229" s="1">
        <v>215189</v>
      </c>
      <c r="E229">
        <v>96</v>
      </c>
      <c r="F229" t="s">
        <v>22</v>
      </c>
      <c r="G229" t="s">
        <v>553</v>
      </c>
      <c r="H229" t="s">
        <v>181</v>
      </c>
    </row>
    <row r="230" spans="1:8" x14ac:dyDescent="0.35">
      <c r="A230" t="s">
        <v>554</v>
      </c>
      <c r="B230">
        <v>2004</v>
      </c>
      <c r="C230">
        <v>8.1</v>
      </c>
      <c r="D230" s="1">
        <v>313141</v>
      </c>
      <c r="E230">
        <v>80</v>
      </c>
      <c r="F230" t="s">
        <v>9</v>
      </c>
      <c r="G230" t="s">
        <v>40</v>
      </c>
      <c r="H230" t="s">
        <v>555</v>
      </c>
    </row>
    <row r="231" spans="1:8" x14ac:dyDescent="0.35">
      <c r="A231" t="s">
        <v>556</v>
      </c>
      <c r="B231">
        <v>2016</v>
      </c>
      <c r="C231">
        <v>8.1</v>
      </c>
      <c r="D231" s="1">
        <v>478524</v>
      </c>
      <c r="E231">
        <v>118</v>
      </c>
      <c r="F231" t="s">
        <v>9</v>
      </c>
      <c r="G231" t="s">
        <v>103</v>
      </c>
      <c r="H231" t="s">
        <v>557</v>
      </c>
    </row>
    <row r="232" spans="1:8" x14ac:dyDescent="0.35">
      <c r="A232" t="s">
        <v>558</v>
      </c>
      <c r="B232">
        <v>2005</v>
      </c>
      <c r="C232">
        <v>8.1</v>
      </c>
      <c r="D232" s="1">
        <v>390915</v>
      </c>
      <c r="E232">
        <v>121</v>
      </c>
      <c r="F232" t="s">
        <v>16</v>
      </c>
      <c r="G232" t="s">
        <v>28</v>
      </c>
      <c r="H232" t="s">
        <v>559</v>
      </c>
    </row>
    <row r="233" spans="1:8" x14ac:dyDescent="0.35">
      <c r="A233" t="s">
        <v>560</v>
      </c>
      <c r="B233">
        <v>2025</v>
      </c>
      <c r="C233">
        <v>8.3000000000000007</v>
      </c>
      <c r="D233" s="1">
        <v>49117</v>
      </c>
      <c r="E233">
        <v>100</v>
      </c>
      <c r="F233" t="s">
        <v>9</v>
      </c>
      <c r="G233" t="s">
        <v>134</v>
      </c>
      <c r="H233" t="s">
        <v>561</v>
      </c>
    </row>
    <row r="234" spans="1:8" x14ac:dyDescent="0.35">
      <c r="A234" t="s">
        <v>562</v>
      </c>
      <c r="B234">
        <v>2004</v>
      </c>
      <c r="C234">
        <v>8</v>
      </c>
      <c r="D234" s="1">
        <v>894329</v>
      </c>
      <c r="E234">
        <v>115</v>
      </c>
      <c r="F234" t="s">
        <v>49</v>
      </c>
      <c r="G234" t="s">
        <v>134</v>
      </c>
      <c r="H234" t="s">
        <v>563</v>
      </c>
    </row>
    <row r="235" spans="1:8" x14ac:dyDescent="0.35">
      <c r="A235" t="s">
        <v>564</v>
      </c>
      <c r="B235">
        <v>1986</v>
      </c>
      <c r="C235">
        <v>8.1</v>
      </c>
      <c r="D235" s="1">
        <v>470820</v>
      </c>
      <c r="E235">
        <v>120</v>
      </c>
      <c r="F235" t="s">
        <v>9</v>
      </c>
      <c r="G235" t="s">
        <v>76</v>
      </c>
      <c r="H235" t="s">
        <v>565</v>
      </c>
    </row>
    <row r="236" spans="1:8" x14ac:dyDescent="0.35">
      <c r="A236" t="s">
        <v>566</v>
      </c>
      <c r="B236">
        <v>2010</v>
      </c>
      <c r="C236">
        <v>8.1</v>
      </c>
      <c r="D236" s="1">
        <v>340864</v>
      </c>
      <c r="E236">
        <v>93</v>
      </c>
      <c r="F236" t="s">
        <v>112</v>
      </c>
      <c r="G236" t="s">
        <v>545</v>
      </c>
      <c r="H236" t="s">
        <v>567</v>
      </c>
    </row>
    <row r="237" spans="1:8" x14ac:dyDescent="0.35">
      <c r="A237" t="s">
        <v>568</v>
      </c>
      <c r="B237">
        <v>1973</v>
      </c>
      <c r="C237">
        <v>8.1</v>
      </c>
      <c r="D237" s="1">
        <v>496255</v>
      </c>
      <c r="E237">
        <v>122</v>
      </c>
      <c r="F237" t="s">
        <v>9</v>
      </c>
      <c r="G237" t="s">
        <v>569</v>
      </c>
      <c r="H237" t="s">
        <v>570</v>
      </c>
    </row>
    <row r="238" spans="1:8" x14ac:dyDescent="0.35">
      <c r="A238" t="s">
        <v>571</v>
      </c>
      <c r="B238">
        <v>2013</v>
      </c>
      <c r="C238">
        <v>8.1</v>
      </c>
      <c r="D238" s="1">
        <v>556044</v>
      </c>
      <c r="E238">
        <v>123</v>
      </c>
      <c r="F238" t="s">
        <v>9</v>
      </c>
      <c r="G238" t="s">
        <v>454</v>
      </c>
      <c r="H238" t="s">
        <v>572</v>
      </c>
    </row>
    <row r="239" spans="1:8" x14ac:dyDescent="0.35">
      <c r="A239" t="s">
        <v>573</v>
      </c>
      <c r="B239">
        <v>1999</v>
      </c>
      <c r="C239">
        <v>8.1</v>
      </c>
      <c r="D239" s="1">
        <v>258235</v>
      </c>
      <c r="E239">
        <v>86</v>
      </c>
      <c r="F239" t="s">
        <v>49</v>
      </c>
      <c r="G239" t="s">
        <v>134</v>
      </c>
      <c r="H239" t="s">
        <v>145</v>
      </c>
    </row>
    <row r="240" spans="1:8" x14ac:dyDescent="0.35">
      <c r="A240" t="s">
        <v>574</v>
      </c>
      <c r="B240">
        <v>1939</v>
      </c>
      <c r="C240">
        <v>8.1</v>
      </c>
      <c r="D240" s="1">
        <v>465566</v>
      </c>
      <c r="E240">
        <v>102</v>
      </c>
      <c r="F240" t="s">
        <v>112</v>
      </c>
      <c r="G240" t="s">
        <v>438</v>
      </c>
      <c r="H240" t="s">
        <v>575</v>
      </c>
    </row>
    <row r="241" spans="1:8" x14ac:dyDescent="0.35">
      <c r="A241" t="s">
        <v>576</v>
      </c>
      <c r="B241">
        <v>1986</v>
      </c>
      <c r="C241">
        <v>8.1</v>
      </c>
      <c r="D241" s="1">
        <v>484400</v>
      </c>
      <c r="E241">
        <v>89</v>
      </c>
      <c r="F241" t="s">
        <v>9</v>
      </c>
      <c r="G241" t="s">
        <v>504</v>
      </c>
      <c r="H241" t="s">
        <v>577</v>
      </c>
    </row>
    <row r="242" spans="1:8" x14ac:dyDescent="0.35">
      <c r="A242" t="s">
        <v>578</v>
      </c>
      <c r="B242">
        <v>1928</v>
      </c>
      <c r="C242">
        <v>8.1</v>
      </c>
      <c r="D242" s="1">
        <v>67817</v>
      </c>
      <c r="E242">
        <v>114</v>
      </c>
      <c r="F242" t="s">
        <v>22</v>
      </c>
      <c r="G242" t="s">
        <v>28</v>
      </c>
      <c r="H242" t="s">
        <v>117</v>
      </c>
    </row>
    <row r="243" spans="1:8" x14ac:dyDescent="0.35">
      <c r="A243" t="s">
        <v>579</v>
      </c>
      <c r="B243">
        <v>2005</v>
      </c>
      <c r="C243">
        <v>8.1999999999999993</v>
      </c>
      <c r="D243" s="1">
        <v>100337</v>
      </c>
      <c r="E243">
        <v>112</v>
      </c>
      <c r="F243" t="s">
        <v>22</v>
      </c>
      <c r="G243" t="s">
        <v>285</v>
      </c>
      <c r="H243" t="s">
        <v>580</v>
      </c>
    </row>
    <row r="244" spans="1:8" x14ac:dyDescent="0.35">
      <c r="A244" t="s">
        <v>581</v>
      </c>
      <c r="B244">
        <v>1967</v>
      </c>
      <c r="C244">
        <v>8.1</v>
      </c>
      <c r="D244" s="1">
        <v>75159</v>
      </c>
      <c r="E244">
        <v>121</v>
      </c>
      <c r="F244" t="s">
        <v>22</v>
      </c>
      <c r="G244" t="s">
        <v>76</v>
      </c>
      <c r="H244" t="s">
        <v>582</v>
      </c>
    </row>
    <row r="245" spans="1:8" x14ac:dyDescent="0.35">
      <c r="A245" t="s">
        <v>583</v>
      </c>
      <c r="B245">
        <v>2017</v>
      </c>
      <c r="C245">
        <v>8.1</v>
      </c>
      <c r="D245" s="1">
        <v>201118</v>
      </c>
      <c r="E245">
        <v>145</v>
      </c>
      <c r="F245" t="s">
        <v>22</v>
      </c>
      <c r="G245" t="s">
        <v>584</v>
      </c>
      <c r="H245" t="s">
        <v>585</v>
      </c>
    </row>
    <row r="246" spans="1:8" x14ac:dyDescent="0.35">
      <c r="A246" t="s">
        <v>586</v>
      </c>
      <c r="B246">
        <v>1976</v>
      </c>
      <c r="C246">
        <v>8.1</v>
      </c>
      <c r="D246" s="1">
        <v>185436</v>
      </c>
      <c r="E246">
        <v>121</v>
      </c>
      <c r="F246" t="s">
        <v>9</v>
      </c>
      <c r="G246" t="s">
        <v>10</v>
      </c>
      <c r="H246" t="s">
        <v>587</v>
      </c>
    </row>
    <row r="247" spans="1:8" x14ac:dyDescent="0.35">
      <c r="A247" t="s">
        <v>588</v>
      </c>
      <c r="B247">
        <v>2015</v>
      </c>
      <c r="C247">
        <v>8.1999999999999993</v>
      </c>
      <c r="D247" s="1">
        <v>107875</v>
      </c>
      <c r="E247">
        <v>163</v>
      </c>
      <c r="F247" t="s">
        <v>22</v>
      </c>
      <c r="G247" t="s">
        <v>64</v>
      </c>
    </row>
    <row r="248" spans="1:8" x14ac:dyDescent="0.35">
      <c r="A248" t="s">
        <v>589</v>
      </c>
      <c r="B248">
        <v>1940</v>
      </c>
      <c r="C248">
        <v>8.1</v>
      </c>
      <c r="D248" s="1">
        <v>108041</v>
      </c>
      <c r="E248">
        <v>129</v>
      </c>
      <c r="F248" t="s">
        <v>22</v>
      </c>
      <c r="G248" t="s">
        <v>10</v>
      </c>
      <c r="H248" t="s">
        <v>23</v>
      </c>
    </row>
    <row r="249" spans="1:8" x14ac:dyDescent="0.35">
      <c r="A249" t="s">
        <v>590</v>
      </c>
      <c r="B249">
        <v>1942</v>
      </c>
      <c r="C249">
        <v>8.1</v>
      </c>
      <c r="D249" s="1">
        <v>49586</v>
      </c>
      <c r="E249">
        <v>99</v>
      </c>
      <c r="F249" t="s">
        <v>22</v>
      </c>
      <c r="G249" t="s">
        <v>591</v>
      </c>
      <c r="H249" t="s">
        <v>508</v>
      </c>
    </row>
    <row r="250" spans="1:8" x14ac:dyDescent="0.35">
      <c r="A250" t="s">
        <v>592</v>
      </c>
      <c r="B250">
        <v>2012</v>
      </c>
      <c r="C250">
        <v>8.1999999999999993</v>
      </c>
      <c r="D250" s="1">
        <v>113517</v>
      </c>
      <c r="E250">
        <v>321</v>
      </c>
      <c r="F250" t="s">
        <v>22</v>
      </c>
      <c r="G250" t="s">
        <v>593</v>
      </c>
      <c r="H250" t="s">
        <v>594</v>
      </c>
    </row>
    <row r="251" spans="1:8" x14ac:dyDescent="0.35">
      <c r="A251" t="s">
        <v>595</v>
      </c>
      <c r="B251">
        <v>1978</v>
      </c>
      <c r="C251">
        <v>8.1</v>
      </c>
      <c r="D251" s="1">
        <v>41972</v>
      </c>
      <c r="E251">
        <v>99</v>
      </c>
      <c r="F251" t="s">
        <v>49</v>
      </c>
      <c r="G251" t="s">
        <v>121</v>
      </c>
      <c r="H251" t="s">
        <v>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1"/>
  <sheetViews>
    <sheetView tabSelected="1" zoomScale="84" workbookViewId="0">
      <pane ySplit="1" topLeftCell="A2" activePane="bottomLeft" state="frozen"/>
      <selection pane="bottomLeft" sqref="A1:J1"/>
    </sheetView>
  </sheetViews>
  <sheetFormatPr defaultRowHeight="14.5" x14ac:dyDescent="0.35"/>
  <cols>
    <col min="4" max="4" width="11.36328125" customWidth="1"/>
    <col min="10" max="10" width="12.26953125" customWidth="1"/>
    <col min="11" max="11" width="13" customWidth="1"/>
    <col min="12" max="12" width="12.08984375" customWidth="1"/>
    <col min="13" max="14" width="15.54296875" customWidth="1"/>
    <col min="16" max="16" width="10.08984375" customWidth="1"/>
    <col min="17" max="17" width="12.36328125" customWidth="1"/>
    <col min="18" max="18" width="11.1796875" customWidth="1"/>
    <col min="19" max="19" width="10.7265625" customWidth="1"/>
    <col min="20" max="20" width="10.81640625" customWidth="1"/>
    <col min="25" max="25" width="14.363281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7</v>
      </c>
      <c r="K1" t="s">
        <v>671</v>
      </c>
      <c r="L1" t="s">
        <v>610</v>
      </c>
    </row>
    <row r="2" spans="1:20" x14ac:dyDescent="0.35">
      <c r="A2" t="s">
        <v>8</v>
      </c>
      <c r="B2">
        <v>1994</v>
      </c>
      <c r="C2">
        <v>9.3000000000000007</v>
      </c>
      <c r="D2" s="1">
        <v>3168010</v>
      </c>
      <c r="E2">
        <v>142</v>
      </c>
      <c r="F2" t="s">
        <v>9</v>
      </c>
      <c r="G2" t="s">
        <v>10</v>
      </c>
      <c r="J2" t="s">
        <v>11</v>
      </c>
      <c r="K2" t="str" cm="1">
        <f t="array" ref="K2:K251">SUBSTITUTE( SUBSTITUTE(J2:J251, "M",""), "$","")</f>
        <v>29.33</v>
      </c>
      <c r="L2" s="2">
        <f>VALUE(K2)</f>
        <v>29.33</v>
      </c>
      <c r="M2" s="2"/>
      <c r="N2" s="2"/>
      <c r="O2" t="s">
        <v>597</v>
      </c>
      <c r="S2" s="5" t="s">
        <v>620</v>
      </c>
    </row>
    <row r="3" spans="1:20" x14ac:dyDescent="0.35">
      <c r="A3" t="s">
        <v>12</v>
      </c>
      <c r="B3">
        <v>1972</v>
      </c>
      <c r="C3">
        <v>9.1999999999999993</v>
      </c>
      <c r="D3" s="1">
        <v>2212884</v>
      </c>
      <c r="E3">
        <v>175</v>
      </c>
      <c r="F3" t="s">
        <v>9</v>
      </c>
      <c r="G3" t="s">
        <v>632</v>
      </c>
      <c r="H3" t="s">
        <v>10</v>
      </c>
      <c r="J3" t="s">
        <v>14</v>
      </c>
      <c r="K3" s="2" t="str">
        <v>250.93</v>
      </c>
      <c r="L3" s="2">
        <f>VALUE(K3)</f>
        <v>250.93</v>
      </c>
      <c r="M3" s="2"/>
      <c r="N3" s="2"/>
      <c r="O3" t="s">
        <v>596</v>
      </c>
      <c r="P3" t="s">
        <v>2</v>
      </c>
      <c r="Q3" t="s">
        <v>3</v>
      </c>
      <c r="R3" t="s">
        <v>4</v>
      </c>
      <c r="S3" s="5" t="s">
        <v>619</v>
      </c>
      <c r="T3" t="s">
        <v>598</v>
      </c>
    </row>
    <row r="4" spans="1:20" x14ac:dyDescent="0.35">
      <c r="A4" t="s">
        <v>15</v>
      </c>
      <c r="B4">
        <v>2008</v>
      </c>
      <c r="C4">
        <v>9.1</v>
      </c>
      <c r="D4" s="1">
        <v>3145646</v>
      </c>
      <c r="E4">
        <v>152</v>
      </c>
      <c r="F4" t="s">
        <v>16</v>
      </c>
      <c r="G4" t="s">
        <v>633</v>
      </c>
      <c r="H4" t="s">
        <v>632</v>
      </c>
      <c r="I4" t="s">
        <v>10</v>
      </c>
      <c r="J4" t="s">
        <v>18</v>
      </c>
      <c r="K4" s="2" t="str">
        <v>1008.48</v>
      </c>
      <c r="L4" s="2">
        <f>VALUE(K4)</f>
        <v>1008.48</v>
      </c>
      <c r="M4" s="2"/>
      <c r="N4" s="2"/>
      <c r="O4" t="s">
        <v>599</v>
      </c>
      <c r="P4">
        <f>250-COUNTIF(C2:C251, "")</f>
        <v>250</v>
      </c>
      <c r="Q4" s="1">
        <f>250-COUNTIF(D2:D251, "")</f>
        <v>250</v>
      </c>
      <c r="R4">
        <f>250-COUNTIF(E2:E251, "")</f>
        <v>250</v>
      </c>
      <c r="S4" s="6">
        <f>250-COUNTIF(L2:L251, "")</f>
        <v>246</v>
      </c>
      <c r="T4">
        <f>250-COUNTIF(J2:J251, "")</f>
        <v>246</v>
      </c>
    </row>
    <row r="5" spans="1:20" x14ac:dyDescent="0.35">
      <c r="A5" t="s">
        <v>19</v>
      </c>
      <c r="B5">
        <v>1974</v>
      </c>
      <c r="C5">
        <v>9</v>
      </c>
      <c r="D5" s="1">
        <v>1486878</v>
      </c>
      <c r="E5">
        <v>202</v>
      </c>
      <c r="F5" t="s">
        <v>9</v>
      </c>
      <c r="G5" t="s">
        <v>632</v>
      </c>
      <c r="H5" t="s">
        <v>10</v>
      </c>
      <c r="J5" t="s">
        <v>20</v>
      </c>
      <c r="K5" s="2" t="str">
        <v>48.20</v>
      </c>
      <c r="L5" s="2">
        <f t="shared" ref="L5:L66" si="0">VALUE(K5)</f>
        <v>48.2</v>
      </c>
      <c r="M5" s="2"/>
      <c r="N5" s="2"/>
      <c r="O5" t="s">
        <v>600</v>
      </c>
      <c r="P5" s="7">
        <f>COUNTBLANK(C2:C251)/250</f>
        <v>0</v>
      </c>
      <c r="Q5" s="7">
        <f>COUNTBLANK(D2:D251)/250</f>
        <v>0</v>
      </c>
      <c r="R5" s="7">
        <f>COUNTBLANK(E2:E251)/250</f>
        <v>0</v>
      </c>
      <c r="S5" s="8">
        <f>COUNTBLANK(L2:L251)/250</f>
        <v>1.6E-2</v>
      </c>
      <c r="T5" s="7">
        <f>COUNTBLANK(J2:J251)/250</f>
        <v>1.6E-2</v>
      </c>
    </row>
    <row r="6" spans="1:20" x14ac:dyDescent="0.35">
      <c r="A6" t="s">
        <v>21</v>
      </c>
      <c r="B6">
        <v>1957</v>
      </c>
      <c r="C6">
        <v>9</v>
      </c>
      <c r="D6" s="1">
        <v>977359</v>
      </c>
      <c r="E6">
        <v>96</v>
      </c>
      <c r="F6" t="s">
        <v>22</v>
      </c>
      <c r="G6" t="s">
        <v>632</v>
      </c>
      <c r="H6" t="s">
        <v>10</v>
      </c>
      <c r="J6" t="s">
        <v>23</v>
      </c>
      <c r="K6" s="2" t="str">
        <v>0.01</v>
      </c>
      <c r="L6" s="2">
        <f t="shared" si="0"/>
        <v>0.01</v>
      </c>
      <c r="M6" s="2"/>
      <c r="N6" s="2"/>
      <c r="O6" t="s">
        <v>601</v>
      </c>
      <c r="S6" s="5"/>
    </row>
    <row r="7" spans="1:20" x14ac:dyDescent="0.35">
      <c r="A7" t="s">
        <v>24</v>
      </c>
      <c r="B7">
        <v>2003</v>
      </c>
      <c r="C7">
        <v>9</v>
      </c>
      <c r="D7" s="1">
        <v>2152126</v>
      </c>
      <c r="E7">
        <v>201</v>
      </c>
      <c r="F7" t="s">
        <v>16</v>
      </c>
      <c r="G7" t="s">
        <v>634</v>
      </c>
      <c r="H7" t="s">
        <v>10</v>
      </c>
      <c r="I7" t="s">
        <v>660</v>
      </c>
      <c r="J7" t="s">
        <v>26</v>
      </c>
      <c r="K7" s="2" t="str">
        <v>1148.97</v>
      </c>
      <c r="L7" s="2">
        <f t="shared" si="0"/>
        <v>1148.97</v>
      </c>
      <c r="M7" s="2"/>
      <c r="N7" s="2"/>
      <c r="O7" t="s">
        <v>602</v>
      </c>
      <c r="P7">
        <f>MIN(C2:C251)</f>
        <v>8</v>
      </c>
      <c r="Q7" s="1">
        <f>MIN(D2:D251)</f>
        <v>27811</v>
      </c>
      <c r="R7" s="1">
        <f>MIN(E2:E251)</f>
        <v>45</v>
      </c>
      <c r="S7" s="5">
        <f>MIN(L2:L20)</f>
        <v>0.01</v>
      </c>
      <c r="T7">
        <f>MIN(J2:J20)</f>
        <v>0</v>
      </c>
    </row>
    <row r="8" spans="1:20" x14ac:dyDescent="0.35">
      <c r="A8" t="s">
        <v>27</v>
      </c>
      <c r="B8">
        <v>1994</v>
      </c>
      <c r="C8">
        <v>9</v>
      </c>
      <c r="D8" s="1">
        <v>1577558</v>
      </c>
      <c r="E8">
        <v>195</v>
      </c>
      <c r="F8" t="s">
        <v>9</v>
      </c>
      <c r="G8" t="s">
        <v>635</v>
      </c>
      <c r="H8" t="s">
        <v>10</v>
      </c>
      <c r="I8" t="s">
        <v>661</v>
      </c>
      <c r="J8" t="s">
        <v>29</v>
      </c>
      <c r="K8" s="2" t="str">
        <v>322.16</v>
      </c>
      <c r="L8" s="2">
        <f t="shared" si="0"/>
        <v>322.16000000000003</v>
      </c>
      <c r="M8" s="2"/>
      <c r="N8" s="2"/>
      <c r="O8" t="s">
        <v>603</v>
      </c>
      <c r="P8">
        <f>_xlfn.QUARTILE.EXC(C2:C251, 1)</f>
        <v>8.1</v>
      </c>
      <c r="Q8">
        <f>_xlfn.QUARTILE.EXC(D2:D251, 1)</f>
        <v>240924.75</v>
      </c>
      <c r="R8">
        <f>_xlfn.QUARTILE.EXC(E2:E251, 1)</f>
        <v>108</v>
      </c>
      <c r="S8" s="5">
        <f>_xlfn.QUARTILE.EXC(L2:L20, 1)</f>
        <v>48.2</v>
      </c>
      <c r="T8" t="e">
        <f>_xlfn.QUARTILE.EXC(M2:M20, 1)</f>
        <v>#NUM!</v>
      </c>
    </row>
    <row r="9" spans="1:20" x14ac:dyDescent="0.35">
      <c r="A9" t="s">
        <v>30</v>
      </c>
      <c r="B9">
        <v>2001</v>
      </c>
      <c r="C9">
        <v>8.9</v>
      </c>
      <c r="D9" s="1">
        <v>2193491</v>
      </c>
      <c r="E9">
        <v>178</v>
      </c>
      <c r="F9" t="s">
        <v>16</v>
      </c>
      <c r="G9" t="s">
        <v>634</v>
      </c>
      <c r="H9" t="s">
        <v>10</v>
      </c>
      <c r="I9" t="s">
        <v>660</v>
      </c>
      <c r="J9" t="s">
        <v>31</v>
      </c>
      <c r="K9" s="2" t="str">
        <v>897.00</v>
      </c>
      <c r="L9" s="2">
        <f t="shared" si="0"/>
        <v>897</v>
      </c>
      <c r="M9" s="2"/>
      <c r="N9" s="2"/>
      <c r="O9" t="s">
        <v>604</v>
      </c>
      <c r="P9">
        <f>AVERAGE(C2:C251)</f>
        <v>8.3103999999999747</v>
      </c>
      <c r="Q9" s="1">
        <f>AVERAGE(D2:D251)</f>
        <v>755345.98800000001</v>
      </c>
      <c r="R9">
        <f>AVERAGE(E2:E251)</f>
        <v>131.93199999999999</v>
      </c>
      <c r="S9" s="6">
        <f>AVERAGE(L2:L20)</f>
        <v>445.35684210526307</v>
      </c>
      <c r="T9" t="e">
        <f>AVERAGE(J2:J20)</f>
        <v>#DIV/0!</v>
      </c>
    </row>
    <row r="10" spans="1:20" x14ac:dyDescent="0.35">
      <c r="A10" t="s">
        <v>32</v>
      </c>
      <c r="B10">
        <v>1994</v>
      </c>
      <c r="C10">
        <v>8.8000000000000007</v>
      </c>
      <c r="D10" s="1">
        <v>2421067</v>
      </c>
      <c r="E10">
        <v>154</v>
      </c>
      <c r="F10" t="s">
        <v>9</v>
      </c>
      <c r="G10" t="s">
        <v>632</v>
      </c>
      <c r="H10" t="s">
        <v>10</v>
      </c>
      <c r="J10" t="s">
        <v>33</v>
      </c>
      <c r="K10" s="2" t="str">
        <v>213.93</v>
      </c>
      <c r="L10" s="2">
        <f t="shared" si="0"/>
        <v>213.93</v>
      </c>
      <c r="M10" s="2"/>
      <c r="N10" s="2"/>
      <c r="O10" t="s">
        <v>605</v>
      </c>
      <c r="P10">
        <f>MEDIAN(C2:C251)</f>
        <v>8.1999999999999993</v>
      </c>
      <c r="Q10" s="1">
        <f>MEDIAN(D2:D251)</f>
        <v>609516</v>
      </c>
      <c r="R10">
        <f>MEDIAN(E2:E251)</f>
        <v>127.5</v>
      </c>
      <c r="S10" s="5">
        <f>MEDIAN(L2:L20)</f>
        <v>322.16000000000003</v>
      </c>
      <c r="T10" t="e">
        <f>MEDIAN(J2:J20)</f>
        <v>#NUM!</v>
      </c>
    </row>
    <row r="11" spans="1:20" x14ac:dyDescent="0.35">
      <c r="A11" t="s">
        <v>34</v>
      </c>
      <c r="B11">
        <v>1967</v>
      </c>
      <c r="C11">
        <v>8.8000000000000007</v>
      </c>
      <c r="D11" s="1">
        <v>887227</v>
      </c>
      <c r="E11">
        <v>178</v>
      </c>
      <c r="F11" t="s">
        <v>9</v>
      </c>
      <c r="G11" t="s">
        <v>634</v>
      </c>
      <c r="H11" t="s">
        <v>10</v>
      </c>
      <c r="I11" t="s">
        <v>662</v>
      </c>
      <c r="J11" t="s">
        <v>36</v>
      </c>
      <c r="K11" s="2" t="str">
        <v>25.27</v>
      </c>
      <c r="L11" s="2">
        <f t="shared" si="0"/>
        <v>25.27</v>
      </c>
      <c r="M11" s="2"/>
      <c r="N11" s="2"/>
      <c r="O11" t="s">
        <v>606</v>
      </c>
      <c r="P11">
        <f>_xlfn.QUARTILE.EXC(C2:C251, 3)</f>
        <v>8.4</v>
      </c>
      <c r="Q11">
        <f>_xlfn.QUARTILE.EXC(D2:D251, 3)</f>
        <v>1145257.75</v>
      </c>
      <c r="R11">
        <f>_xlfn.QUARTILE.EXC(E2:E251, 3)</f>
        <v>148</v>
      </c>
      <c r="S11" s="5">
        <f>_xlfn.QUARTILE.EXC(L2:L20, 3)</f>
        <v>839.79</v>
      </c>
      <c r="T11" t="e">
        <f>_xlfn.QUARTILE.EXC(M2:M20, 3)</f>
        <v>#NUM!</v>
      </c>
    </row>
    <row r="12" spans="1:20" x14ac:dyDescent="0.35">
      <c r="A12" t="s">
        <v>37</v>
      </c>
      <c r="B12">
        <v>2002</v>
      </c>
      <c r="C12">
        <v>8.8000000000000007</v>
      </c>
      <c r="D12" s="1">
        <v>1945026</v>
      </c>
      <c r="E12">
        <v>179</v>
      </c>
      <c r="F12" t="s">
        <v>16</v>
      </c>
      <c r="G12" t="s">
        <v>634</v>
      </c>
      <c r="H12" t="s">
        <v>10</v>
      </c>
      <c r="I12" t="s">
        <v>660</v>
      </c>
      <c r="J12" t="s">
        <v>38</v>
      </c>
      <c r="K12" s="2" t="str">
        <v>944.74</v>
      </c>
      <c r="L12" s="2">
        <f t="shared" si="0"/>
        <v>944.74</v>
      </c>
      <c r="M12" s="2"/>
      <c r="N12" s="2"/>
      <c r="O12" t="s">
        <v>607</v>
      </c>
      <c r="P12">
        <f>MAX(C2:C251)</f>
        <v>9.3000000000000007</v>
      </c>
      <c r="Q12" s="1">
        <f>MAX(D2:D251)</f>
        <v>3168010</v>
      </c>
      <c r="R12">
        <f>MAX(E2:E251)</f>
        <v>374</v>
      </c>
      <c r="S12" s="5">
        <f>MAX(L2:L20)</f>
        <v>1148.97</v>
      </c>
      <c r="T12">
        <f>MAX(J2:J20)</f>
        <v>0</v>
      </c>
    </row>
    <row r="13" spans="1:20" x14ac:dyDescent="0.35">
      <c r="A13" t="s">
        <v>39</v>
      </c>
      <c r="B13">
        <v>1994</v>
      </c>
      <c r="C13">
        <v>8.8000000000000007</v>
      </c>
      <c r="D13" s="1">
        <v>2479948</v>
      </c>
      <c r="E13">
        <v>142</v>
      </c>
      <c r="F13" t="s">
        <v>16</v>
      </c>
      <c r="G13" t="s">
        <v>10</v>
      </c>
      <c r="H13" t="s">
        <v>663</v>
      </c>
      <c r="J13" t="s">
        <v>41</v>
      </c>
      <c r="K13" s="2" t="str">
        <v>678.23</v>
      </c>
      <c r="L13" s="2">
        <f t="shared" si="0"/>
        <v>678.23</v>
      </c>
      <c r="M13" s="2"/>
      <c r="N13" s="2"/>
      <c r="O13" t="s">
        <v>608</v>
      </c>
      <c r="P13">
        <f>_xlfn.STDEV.P(C2:C251)</f>
        <v>0.23128303007354378</v>
      </c>
      <c r="Q13">
        <f>_xlfn.STDEV.P(D2:D251)</f>
        <v>620710.89346503001</v>
      </c>
      <c r="R13">
        <f>_xlfn.STDEV.P(E2:E251)</f>
        <v>36.474420845299242</v>
      </c>
      <c r="S13" s="5">
        <f>_xlfn.STDEV.P(L2:L20)</f>
        <v>383.69350764781052</v>
      </c>
      <c r="T13" t="e">
        <f>_xlfn.STDEV.P(J2:J20)</f>
        <v>#DIV/0!</v>
      </c>
    </row>
    <row r="14" spans="1:20" x14ac:dyDescent="0.35">
      <c r="A14" t="s">
        <v>42</v>
      </c>
      <c r="B14">
        <v>1999</v>
      </c>
      <c r="C14">
        <v>8.8000000000000007</v>
      </c>
      <c r="D14" s="1">
        <v>2585212</v>
      </c>
      <c r="E14">
        <v>139</v>
      </c>
      <c r="F14" t="s">
        <v>9</v>
      </c>
      <c r="G14" t="s">
        <v>632</v>
      </c>
      <c r="H14" t="s">
        <v>10</v>
      </c>
      <c r="I14" t="s">
        <v>664</v>
      </c>
      <c r="J14" t="s">
        <v>44</v>
      </c>
      <c r="K14" s="2" t="str">
        <v>101.32</v>
      </c>
      <c r="L14" s="2">
        <f t="shared" si="0"/>
        <v>101.32</v>
      </c>
      <c r="M14" s="2"/>
      <c r="N14" s="2"/>
    </row>
    <row r="15" spans="1:20" x14ac:dyDescent="0.35">
      <c r="A15" t="s">
        <v>45</v>
      </c>
      <c r="B15">
        <v>2010</v>
      </c>
      <c r="C15">
        <v>8.8000000000000007</v>
      </c>
      <c r="D15" s="1">
        <v>2796318</v>
      </c>
      <c r="E15">
        <v>148</v>
      </c>
      <c r="F15" t="s">
        <v>16</v>
      </c>
      <c r="G15" t="s">
        <v>633</v>
      </c>
      <c r="H15" t="s">
        <v>634</v>
      </c>
      <c r="I15" t="s">
        <v>665</v>
      </c>
      <c r="J15" t="s">
        <v>47</v>
      </c>
      <c r="K15" s="2" t="str">
        <v>839.79</v>
      </c>
      <c r="L15" s="2">
        <f t="shared" si="0"/>
        <v>839.79</v>
      </c>
      <c r="M15" s="2"/>
      <c r="N15" s="2"/>
      <c r="O15" t="s">
        <v>609</v>
      </c>
    </row>
    <row r="16" spans="1:20" x14ac:dyDescent="0.35">
      <c r="A16" t="s">
        <v>48</v>
      </c>
      <c r="B16">
        <v>1980</v>
      </c>
      <c r="C16">
        <v>8.6999999999999993</v>
      </c>
      <c r="D16" s="1">
        <v>1496595</v>
      </c>
      <c r="E16">
        <v>124</v>
      </c>
      <c r="F16" t="s">
        <v>49</v>
      </c>
      <c r="G16" t="s">
        <v>633</v>
      </c>
      <c r="H16" t="s">
        <v>634</v>
      </c>
      <c r="I16" t="s">
        <v>660</v>
      </c>
      <c r="J16" t="s">
        <v>51</v>
      </c>
      <c r="K16" s="2" t="str">
        <v>550.02</v>
      </c>
      <c r="L16" s="2">
        <f t="shared" si="0"/>
        <v>550.02</v>
      </c>
      <c r="M16" s="2"/>
      <c r="N16" s="2"/>
      <c r="O16" t="s">
        <v>611</v>
      </c>
      <c r="P16" t="s">
        <v>0</v>
      </c>
      <c r="Q16" t="s">
        <v>1</v>
      </c>
      <c r="R16" t="s">
        <v>5</v>
      </c>
      <c r="S16" t="s">
        <v>6</v>
      </c>
    </row>
    <row r="17" spans="1:28" x14ac:dyDescent="0.35">
      <c r="A17" t="s">
        <v>52</v>
      </c>
      <c r="B17">
        <v>1999</v>
      </c>
      <c r="C17">
        <v>8.6999999999999993</v>
      </c>
      <c r="D17" s="1">
        <v>2233701</v>
      </c>
      <c r="E17">
        <v>136</v>
      </c>
      <c r="F17" t="s">
        <v>9</v>
      </c>
      <c r="G17" t="s">
        <v>633</v>
      </c>
      <c r="H17" t="s">
        <v>665</v>
      </c>
      <c r="J17" t="s">
        <v>54</v>
      </c>
      <c r="K17" s="2" t="str">
        <v>473.33</v>
      </c>
      <c r="L17" s="2">
        <f t="shared" si="0"/>
        <v>473.33</v>
      </c>
      <c r="M17" s="2"/>
      <c r="N17" s="2"/>
      <c r="O17" t="s">
        <v>599</v>
      </c>
      <c r="P17" s="4">
        <f>250-COUNTIF(A1:A250, "")</f>
        <v>250</v>
      </c>
      <c r="Q17" s="4">
        <f>250-COUNTIF(B1:B251, "")</f>
        <v>250</v>
      </c>
      <c r="R17" s="4">
        <f>250-COUNTIF(F1:F251, "Unrated")</f>
        <v>193</v>
      </c>
      <c r="S17" s="4">
        <f>250-COUNTIF(G1:G251, "")</f>
        <v>250</v>
      </c>
    </row>
    <row r="18" spans="1:28" x14ac:dyDescent="0.35">
      <c r="A18" t="s">
        <v>55</v>
      </c>
      <c r="B18">
        <v>1990</v>
      </c>
      <c r="C18">
        <v>8.6999999999999993</v>
      </c>
      <c r="D18" s="1">
        <v>1382099</v>
      </c>
      <c r="E18">
        <v>145</v>
      </c>
      <c r="F18" t="s">
        <v>9</v>
      </c>
      <c r="G18" t="s">
        <v>635</v>
      </c>
      <c r="H18" t="s">
        <v>632</v>
      </c>
      <c r="I18" t="s">
        <v>10</v>
      </c>
      <c r="J18" t="s">
        <v>57</v>
      </c>
      <c r="K18" s="2" t="str">
        <v>47.08</v>
      </c>
      <c r="L18" s="2">
        <f t="shared" si="0"/>
        <v>47.08</v>
      </c>
      <c r="M18" s="2"/>
      <c r="N18" s="2"/>
      <c r="O18" t="s">
        <v>600</v>
      </c>
      <c r="P18" s="7">
        <f>COUNTIF(A2:A251, "")/250</f>
        <v>0</v>
      </c>
      <c r="Q18" s="7">
        <f>COUNTIF(B2:B251, "")/250</f>
        <v>0</v>
      </c>
      <c r="R18" s="7">
        <f>COUNTIF(F2:F251, "Unrated")/250</f>
        <v>0.22800000000000001</v>
      </c>
      <c r="S18" s="7">
        <f>COUNTIF(G2:G251, "Unrated")/250</f>
        <v>0</v>
      </c>
    </row>
    <row r="19" spans="1:28" x14ac:dyDescent="0.35">
      <c r="A19" t="s">
        <v>58</v>
      </c>
      <c r="B19">
        <v>2014</v>
      </c>
      <c r="C19">
        <v>8.6999999999999993</v>
      </c>
      <c r="D19" s="1">
        <v>2496091</v>
      </c>
      <c r="E19">
        <v>169</v>
      </c>
      <c r="F19" t="s">
        <v>16</v>
      </c>
      <c r="G19" t="s">
        <v>634</v>
      </c>
      <c r="H19" t="s">
        <v>10</v>
      </c>
      <c r="I19" t="s">
        <v>665</v>
      </c>
      <c r="J19" t="s">
        <v>60</v>
      </c>
      <c r="K19" s="2" t="str">
        <v>773.86</v>
      </c>
      <c r="L19" s="2">
        <f t="shared" si="0"/>
        <v>773.86</v>
      </c>
      <c r="M19" s="2"/>
      <c r="N19" s="2"/>
      <c r="O19" t="s">
        <v>601</v>
      </c>
      <c r="U19" t="s">
        <v>674</v>
      </c>
      <c r="X19" t="s">
        <v>674</v>
      </c>
      <c r="AA19" t="s">
        <v>674</v>
      </c>
    </row>
    <row r="20" spans="1:28" x14ac:dyDescent="0.35">
      <c r="A20" t="s">
        <v>61</v>
      </c>
      <c r="B20">
        <v>1975</v>
      </c>
      <c r="C20">
        <v>8.6</v>
      </c>
      <c r="D20" s="1">
        <v>1152486</v>
      </c>
      <c r="E20">
        <v>133</v>
      </c>
      <c r="F20" t="s">
        <v>9</v>
      </c>
      <c r="G20" t="s">
        <v>10</v>
      </c>
      <c r="J20" t="s">
        <v>62</v>
      </c>
      <c r="K20" t="str">
        <v>109.13</v>
      </c>
      <c r="L20" s="2">
        <f t="shared" si="0"/>
        <v>109.13</v>
      </c>
      <c r="O20" t="s">
        <v>612</v>
      </c>
      <c r="P20" t="s">
        <v>618</v>
      </c>
      <c r="Q20">
        <f>_xlfn.MODE.SNGL(B2:B251)</f>
        <v>2003</v>
      </c>
      <c r="R20" t="s">
        <v>9</v>
      </c>
      <c r="S20" t="s">
        <v>638</v>
      </c>
      <c r="U20" t="s">
        <v>629</v>
      </c>
      <c r="V20" t="s">
        <v>599</v>
      </c>
      <c r="X20" t="s">
        <v>630</v>
      </c>
      <c r="Y20" t="s">
        <v>631</v>
      </c>
      <c r="AA20" t="s">
        <v>672</v>
      </c>
      <c r="AB20" t="s">
        <v>631</v>
      </c>
    </row>
    <row r="21" spans="1:28" x14ac:dyDescent="0.35">
      <c r="A21" t="s">
        <v>63</v>
      </c>
      <c r="B21">
        <v>1995</v>
      </c>
      <c r="C21">
        <v>8.6</v>
      </c>
      <c r="D21" s="1">
        <v>2006146</v>
      </c>
      <c r="E21">
        <v>127</v>
      </c>
      <c r="F21" t="s">
        <v>9</v>
      </c>
      <c r="G21" t="s">
        <v>632</v>
      </c>
      <c r="H21" t="s">
        <v>10</v>
      </c>
      <c r="I21" t="s">
        <v>637</v>
      </c>
      <c r="J21" t="s">
        <v>65</v>
      </c>
      <c r="K21" t="str">
        <v>329.81</v>
      </c>
      <c r="L21" s="2">
        <f t="shared" si="0"/>
        <v>329.81</v>
      </c>
      <c r="O21" t="s">
        <v>613</v>
      </c>
      <c r="P21" t="s">
        <v>618</v>
      </c>
      <c r="Q21">
        <f>COUNTIF(B2:B251, MODE(B2:B251))</f>
        <v>9</v>
      </c>
      <c r="R21">
        <f>MAX(V21:V25)</f>
        <v>102</v>
      </c>
      <c r="S21">
        <f>MAX(Y21:Y41)</f>
        <v>180</v>
      </c>
      <c r="U21" t="s">
        <v>9</v>
      </c>
      <c r="V21">
        <f>COUNTIF(F:F, "R")</f>
        <v>102</v>
      </c>
      <c r="X21" t="s">
        <v>638</v>
      </c>
      <c r="Y21">
        <f>COUNTIF(G1:I245, "Drama")</f>
        <v>180</v>
      </c>
      <c r="AA21">
        <v>2003</v>
      </c>
      <c r="AB21">
        <f>COUNTIF($B$2:$B$251, AA21)</f>
        <v>9</v>
      </c>
    </row>
    <row r="22" spans="1:28" x14ac:dyDescent="0.35">
      <c r="A22" t="s">
        <v>66</v>
      </c>
      <c r="B22">
        <v>1947</v>
      </c>
      <c r="C22">
        <v>8.6</v>
      </c>
      <c r="D22" s="1">
        <v>552664</v>
      </c>
      <c r="E22">
        <v>130</v>
      </c>
      <c r="F22" t="s">
        <v>49</v>
      </c>
      <c r="G22" t="s">
        <v>10</v>
      </c>
      <c r="H22" t="s">
        <v>659</v>
      </c>
      <c r="I22" t="s">
        <v>660</v>
      </c>
      <c r="J22" t="s">
        <v>68</v>
      </c>
      <c r="K22" t="str">
        <v>11.50</v>
      </c>
      <c r="L22" s="2">
        <f t="shared" si="0"/>
        <v>11.5</v>
      </c>
      <c r="O22" t="s">
        <v>614</v>
      </c>
      <c r="P22" t="s">
        <v>618</v>
      </c>
      <c r="Q22" s="7">
        <f>COUNTIF(B2:B252, MODE(B2:B252))/250</f>
        <v>3.5999999999999997E-2</v>
      </c>
      <c r="R22" s="7">
        <f>R21/R17</f>
        <v>0.52849740932642486</v>
      </c>
      <c r="S22" s="7">
        <f>S21/S17</f>
        <v>0.72</v>
      </c>
      <c r="U22" t="s">
        <v>628</v>
      </c>
      <c r="V22">
        <f>COUNTIF(F:F, "Unrated")</f>
        <v>57</v>
      </c>
      <c r="X22" t="s">
        <v>641</v>
      </c>
      <c r="Y22">
        <f>COUNTIF(G2:I251, "Adventure")</f>
        <v>63</v>
      </c>
      <c r="AA22">
        <v>1994</v>
      </c>
      <c r="AB22">
        <f>COUNTIF($B$2:$B$251, AA22)</f>
        <v>7</v>
      </c>
    </row>
    <row r="23" spans="1:28" x14ac:dyDescent="0.35">
      <c r="A23" t="s">
        <v>69</v>
      </c>
      <c r="B23">
        <v>1991</v>
      </c>
      <c r="C23">
        <v>8.6</v>
      </c>
      <c r="D23" s="1">
        <v>1711212</v>
      </c>
      <c r="E23">
        <v>118</v>
      </c>
      <c r="F23" t="s">
        <v>9</v>
      </c>
      <c r="G23" t="s">
        <v>632</v>
      </c>
      <c r="H23" t="s">
        <v>10</v>
      </c>
      <c r="I23" t="s">
        <v>569</v>
      </c>
      <c r="J23" t="s">
        <v>71</v>
      </c>
      <c r="K23" t="str">
        <v>272.74</v>
      </c>
      <c r="L23" s="2">
        <f t="shared" si="0"/>
        <v>272.74</v>
      </c>
      <c r="O23" t="s">
        <v>615</v>
      </c>
      <c r="Q23">
        <v>1994</v>
      </c>
      <c r="R23" t="s">
        <v>49</v>
      </c>
      <c r="S23" t="s">
        <v>641</v>
      </c>
      <c r="U23" t="s">
        <v>49</v>
      </c>
      <c r="V23">
        <f>COUNTIF(F:F, "PG")</f>
        <v>38</v>
      </c>
      <c r="X23" t="s">
        <v>639</v>
      </c>
      <c r="Y23">
        <f>COUNTIF(G1:I248, "Crime")</f>
        <v>54</v>
      </c>
      <c r="AA23">
        <v>1999</v>
      </c>
      <c r="AB23">
        <f>COUNTIF($B$2:$B$251, AA23)</f>
        <v>7</v>
      </c>
    </row>
    <row r="24" spans="1:28" x14ac:dyDescent="0.35">
      <c r="A24" t="s">
        <v>72</v>
      </c>
      <c r="B24">
        <v>1956</v>
      </c>
      <c r="C24">
        <v>8.6</v>
      </c>
      <c r="D24" s="1">
        <v>400179</v>
      </c>
      <c r="E24">
        <v>207</v>
      </c>
      <c r="F24" t="s">
        <v>22</v>
      </c>
      <c r="G24" t="s">
        <v>633</v>
      </c>
      <c r="H24" t="s">
        <v>10</v>
      </c>
      <c r="J24" t="s">
        <v>74</v>
      </c>
      <c r="K24" t="str">
        <v>1.09</v>
      </c>
      <c r="L24" s="2">
        <f t="shared" si="0"/>
        <v>1.0900000000000001</v>
      </c>
      <c r="O24" t="s">
        <v>616</v>
      </c>
      <c r="Q24" s="4">
        <v>7</v>
      </c>
      <c r="R24">
        <v>38</v>
      </c>
      <c r="S24">
        <v>63</v>
      </c>
      <c r="U24" t="s">
        <v>16</v>
      </c>
      <c r="V24">
        <f>COUNTIF(F:F, "PG-13")</f>
        <v>34</v>
      </c>
      <c r="X24" t="s">
        <v>640</v>
      </c>
      <c r="Y24">
        <f>COUNTIF(G5:I254, "Action")</f>
        <v>48</v>
      </c>
      <c r="AA24">
        <v>1995</v>
      </c>
      <c r="AB24">
        <f>COUNTIF($B$2:$B$251, AA24)</f>
        <v>7</v>
      </c>
    </row>
    <row r="25" spans="1:28" x14ac:dyDescent="0.35">
      <c r="A25" t="s">
        <v>75</v>
      </c>
      <c r="B25">
        <v>1998</v>
      </c>
      <c r="C25">
        <v>8.6</v>
      </c>
      <c r="D25" s="1">
        <v>1628543</v>
      </c>
      <c r="E25">
        <v>169</v>
      </c>
      <c r="F25" t="s">
        <v>9</v>
      </c>
      <c r="G25" t="s">
        <v>10</v>
      </c>
      <c r="H25" t="s">
        <v>666</v>
      </c>
      <c r="J25" t="s">
        <v>77</v>
      </c>
      <c r="K25" t="str">
        <v>482.35</v>
      </c>
      <c r="L25" s="2">
        <f t="shared" si="0"/>
        <v>482.35</v>
      </c>
      <c r="O25" t="s">
        <v>617</v>
      </c>
      <c r="Q25" s="7">
        <f>Q24/Q17</f>
        <v>2.8000000000000001E-2</v>
      </c>
      <c r="R25" s="7">
        <f>38/193</f>
        <v>0.19689119170984457</v>
      </c>
      <c r="S25" s="7">
        <f>63/250</f>
        <v>0.252</v>
      </c>
      <c r="U25" t="s">
        <v>112</v>
      </c>
      <c r="V25">
        <f>COUNTIF(F:F, "G")</f>
        <v>18</v>
      </c>
      <c r="X25" t="s">
        <v>646</v>
      </c>
      <c r="Y25">
        <f>COUNTIF(G1:I241, "Action")</f>
        <v>48</v>
      </c>
      <c r="AA25">
        <v>2010</v>
      </c>
      <c r="AB25">
        <f>COUNTIF($B$2:$B$251, AA25)</f>
        <v>6</v>
      </c>
    </row>
    <row r="26" spans="1:28" x14ac:dyDescent="0.35">
      <c r="A26" t="s">
        <v>78</v>
      </c>
      <c r="B26">
        <v>1999</v>
      </c>
      <c r="C26">
        <v>8.6</v>
      </c>
      <c r="D26" s="1">
        <v>1551508</v>
      </c>
      <c r="E26">
        <v>189</v>
      </c>
      <c r="F26" t="s">
        <v>9</v>
      </c>
      <c r="G26" t="s">
        <v>632</v>
      </c>
      <c r="H26" t="s">
        <v>10</v>
      </c>
      <c r="I26" t="s">
        <v>660</v>
      </c>
      <c r="J26" t="s">
        <v>80</v>
      </c>
      <c r="K26" t="str">
        <v>286.80</v>
      </c>
      <c r="L26" s="2">
        <f t="shared" si="0"/>
        <v>286.8</v>
      </c>
      <c r="X26" t="s">
        <v>643</v>
      </c>
      <c r="Y26">
        <f>COUNTIF(G3:I252, "Comedy")</f>
        <v>44</v>
      </c>
      <c r="AA26">
        <v>1998</v>
      </c>
      <c r="AB26">
        <f>COUNTIF($B$2:$B$251, AA26)</f>
        <v>6</v>
      </c>
    </row>
    <row r="27" spans="1:28" x14ac:dyDescent="0.35">
      <c r="A27" t="s">
        <v>81</v>
      </c>
      <c r="B27">
        <v>2004</v>
      </c>
      <c r="C27">
        <v>8.6</v>
      </c>
      <c r="D27" s="1">
        <v>866611</v>
      </c>
      <c r="E27">
        <v>130</v>
      </c>
      <c r="F27" t="s">
        <v>9</v>
      </c>
      <c r="G27" t="s">
        <v>632</v>
      </c>
      <c r="H27" t="s">
        <v>10</v>
      </c>
      <c r="J27" t="s">
        <v>82</v>
      </c>
      <c r="K27" t="str">
        <v>30.69</v>
      </c>
      <c r="L27" s="2">
        <f t="shared" si="0"/>
        <v>30.69</v>
      </c>
      <c r="X27" t="s">
        <v>651</v>
      </c>
      <c r="Y27">
        <f>COUNTIF(G1:I239, "Thriller")</f>
        <v>27</v>
      </c>
      <c r="AA27">
        <v>2005</v>
      </c>
      <c r="AB27">
        <f>COUNTIF($B$2:$B$251, AA27)</f>
        <v>6</v>
      </c>
    </row>
    <row r="28" spans="1:28" x14ac:dyDescent="0.35">
      <c r="A28" t="s">
        <v>83</v>
      </c>
      <c r="B28">
        <v>1997</v>
      </c>
      <c r="C28">
        <v>8.6</v>
      </c>
      <c r="D28" s="1">
        <v>808265</v>
      </c>
      <c r="E28">
        <v>116</v>
      </c>
      <c r="F28" t="s">
        <v>16</v>
      </c>
      <c r="G28" t="s">
        <v>443</v>
      </c>
      <c r="H28" t="s">
        <v>10</v>
      </c>
      <c r="I28" t="s">
        <v>663</v>
      </c>
      <c r="J28" t="s">
        <v>85</v>
      </c>
      <c r="K28" t="str">
        <v>230.10</v>
      </c>
      <c r="L28" s="2">
        <f t="shared" si="0"/>
        <v>230.1</v>
      </c>
      <c r="X28" t="s">
        <v>644</v>
      </c>
      <c r="Y28">
        <f>COUNTIF(G7:I256, "Animation")</f>
        <v>27</v>
      </c>
      <c r="AA28">
        <v>2014</v>
      </c>
      <c r="AB28">
        <f>COUNTIF($B$2:$B$251, AA28)</f>
        <v>5</v>
      </c>
    </row>
    <row r="29" spans="1:28" x14ac:dyDescent="0.35">
      <c r="A29" t="s">
        <v>86</v>
      </c>
      <c r="B29">
        <v>1991</v>
      </c>
      <c r="C29">
        <v>8.6</v>
      </c>
      <c r="D29" s="1">
        <v>1277496</v>
      </c>
      <c r="E29">
        <v>137</v>
      </c>
      <c r="F29" t="s">
        <v>9</v>
      </c>
      <c r="G29" t="s">
        <v>633</v>
      </c>
      <c r="H29" t="s">
        <v>634</v>
      </c>
      <c r="I29" t="s">
        <v>665</v>
      </c>
      <c r="J29" t="s">
        <v>87</v>
      </c>
      <c r="K29" t="str">
        <v>517.78</v>
      </c>
      <c r="L29" s="2">
        <f t="shared" si="0"/>
        <v>517.78</v>
      </c>
      <c r="O29" s="3" t="s">
        <v>621</v>
      </c>
      <c r="P29" s="3"/>
      <c r="Q29" s="3"/>
      <c r="R29" s="3"/>
      <c r="X29" t="s">
        <v>642</v>
      </c>
      <c r="Y29">
        <f>COUNTIF(G7:I256, "Biography")</f>
        <v>27</v>
      </c>
      <c r="AA29">
        <v>1975</v>
      </c>
      <c r="AB29">
        <f>COUNTIF($B$2:$B$251, AA29)</f>
        <v>5</v>
      </c>
    </row>
    <row r="30" spans="1:28" x14ac:dyDescent="0.35">
      <c r="A30" t="s">
        <v>88</v>
      </c>
      <c r="B30">
        <v>1977</v>
      </c>
      <c r="C30">
        <v>8.6</v>
      </c>
      <c r="D30" s="1">
        <v>1561809</v>
      </c>
      <c r="E30">
        <v>121</v>
      </c>
      <c r="F30" t="s">
        <v>49</v>
      </c>
      <c r="G30" t="s">
        <v>633</v>
      </c>
      <c r="H30" t="s">
        <v>634</v>
      </c>
      <c r="I30" t="s">
        <v>660</v>
      </c>
      <c r="J30" t="s">
        <v>89</v>
      </c>
      <c r="K30" t="str">
        <v>775.40</v>
      </c>
      <c r="L30" s="2">
        <f t="shared" si="0"/>
        <v>775.4</v>
      </c>
      <c r="O30" s="3" t="s">
        <v>622</v>
      </c>
      <c r="P30" s="3"/>
      <c r="Q30" s="3"/>
      <c r="R30" s="3"/>
      <c r="X30" t="s">
        <v>650</v>
      </c>
      <c r="Y30">
        <f>COUNTIF(G1:I241, "War")</f>
        <v>23</v>
      </c>
      <c r="AA30">
        <v>2019</v>
      </c>
      <c r="AB30">
        <f>COUNTIF($B$2:$B$251, AA30)</f>
        <v>5</v>
      </c>
    </row>
    <row r="31" spans="1:28" x14ac:dyDescent="0.35">
      <c r="A31" t="s">
        <v>90</v>
      </c>
      <c r="B31">
        <v>1985</v>
      </c>
      <c r="C31">
        <v>8.5</v>
      </c>
      <c r="D31" s="1">
        <v>1442692</v>
      </c>
      <c r="E31">
        <v>116</v>
      </c>
      <c r="F31" t="s">
        <v>49</v>
      </c>
      <c r="G31" t="s">
        <v>634</v>
      </c>
      <c r="H31" t="s">
        <v>443</v>
      </c>
      <c r="I31" t="s">
        <v>665</v>
      </c>
      <c r="J31" t="s">
        <v>92</v>
      </c>
      <c r="K31" t="str">
        <v>392.98</v>
      </c>
      <c r="L31" s="2">
        <f t="shared" si="0"/>
        <v>392.98</v>
      </c>
      <c r="O31" s="3" t="s">
        <v>623</v>
      </c>
      <c r="P31" s="3"/>
      <c r="Q31" s="3"/>
      <c r="R31" s="3"/>
      <c r="X31" t="s">
        <v>647</v>
      </c>
      <c r="Y31">
        <f>COUNTIF(G1:I246, "Romance")</f>
        <v>22</v>
      </c>
      <c r="AA31">
        <v>2011</v>
      </c>
      <c r="AB31">
        <f>COUNTIF($B$2:$B$251, AA31)</f>
        <v>5</v>
      </c>
    </row>
    <row r="32" spans="1:28" x14ac:dyDescent="0.35">
      <c r="A32" t="s">
        <v>93</v>
      </c>
      <c r="B32">
        <v>2003</v>
      </c>
      <c r="C32">
        <v>8.6</v>
      </c>
      <c r="D32" s="1">
        <v>959384</v>
      </c>
      <c r="E32">
        <v>124</v>
      </c>
      <c r="F32" t="s">
        <v>49</v>
      </c>
      <c r="G32" t="s">
        <v>636</v>
      </c>
      <c r="H32" t="s">
        <v>634</v>
      </c>
      <c r="I32" t="s">
        <v>659</v>
      </c>
      <c r="J32" t="s">
        <v>95</v>
      </c>
      <c r="K32" t="str">
        <v>360.18</v>
      </c>
      <c r="L32" s="2">
        <f t="shared" si="0"/>
        <v>360.18</v>
      </c>
      <c r="O32" s="3" t="s">
        <v>624</v>
      </c>
      <c r="P32" s="3"/>
      <c r="Q32" s="3"/>
      <c r="R32" s="3"/>
      <c r="X32" t="s">
        <v>648</v>
      </c>
      <c r="Y32">
        <f>COUNTIF(G1:I246, "Sci-Fi")</f>
        <v>20</v>
      </c>
      <c r="AA32">
        <v>2007</v>
      </c>
      <c r="AB32">
        <f>COUNTIF($B$2:$B$251, AA32)</f>
        <v>5</v>
      </c>
    </row>
    <row r="33" spans="1:28" x14ac:dyDescent="0.35">
      <c r="A33" t="s">
        <v>96</v>
      </c>
      <c r="B33">
        <v>2003</v>
      </c>
      <c r="C33">
        <v>8.5</v>
      </c>
      <c r="D33" s="1">
        <v>1006347</v>
      </c>
      <c r="E33">
        <v>150</v>
      </c>
      <c r="F33" t="s">
        <v>9</v>
      </c>
      <c r="G33" t="s">
        <v>635</v>
      </c>
      <c r="H33" t="s">
        <v>10</v>
      </c>
      <c r="I33" t="s">
        <v>667</v>
      </c>
      <c r="J33" t="s">
        <v>98</v>
      </c>
      <c r="K33" t="str">
        <v>120.10</v>
      </c>
      <c r="L33" s="2">
        <f t="shared" si="0"/>
        <v>120.1</v>
      </c>
      <c r="O33" s="3" t="s">
        <v>625</v>
      </c>
      <c r="P33" s="3"/>
      <c r="Q33" s="3"/>
      <c r="R33" s="3"/>
      <c r="X33" t="s">
        <v>658</v>
      </c>
      <c r="Y33">
        <f>COUNTIF(G6:I255, "Fantasy")</f>
        <v>17</v>
      </c>
      <c r="AA33">
        <v>2009</v>
      </c>
      <c r="AB33">
        <f>COUNTIF($B$2:$B$251, AA33)</f>
        <v>5</v>
      </c>
    </row>
    <row r="34" spans="1:28" x14ac:dyDescent="0.35">
      <c r="A34" t="s">
        <v>99</v>
      </c>
      <c r="B34">
        <v>2000</v>
      </c>
      <c r="C34">
        <v>8.5</v>
      </c>
      <c r="D34" s="1">
        <v>1837102</v>
      </c>
      <c r="E34">
        <v>155</v>
      </c>
      <c r="F34" t="s">
        <v>9</v>
      </c>
      <c r="G34" t="s">
        <v>633</v>
      </c>
      <c r="H34" t="s">
        <v>634</v>
      </c>
      <c r="I34" t="s">
        <v>10</v>
      </c>
      <c r="J34" t="s">
        <v>101</v>
      </c>
      <c r="K34" t="str">
        <v>465.52</v>
      </c>
      <c r="L34" s="2">
        <f t="shared" si="0"/>
        <v>465.52</v>
      </c>
      <c r="O34" s="3" t="s">
        <v>626</v>
      </c>
      <c r="P34" s="3"/>
      <c r="Q34" s="3"/>
      <c r="R34" s="3"/>
      <c r="X34" t="s">
        <v>649</v>
      </c>
      <c r="Y34">
        <f>COUNTIF(G8:I257, "Family")</f>
        <v>13</v>
      </c>
      <c r="AA34">
        <v>2017</v>
      </c>
      <c r="AB34">
        <f>COUNTIF($B$2:$B$251, AA34)</f>
        <v>5</v>
      </c>
    </row>
    <row r="35" spans="1:28" x14ac:dyDescent="0.35">
      <c r="A35" t="s">
        <v>102</v>
      </c>
      <c r="B35">
        <v>2019</v>
      </c>
      <c r="C35">
        <v>8.5</v>
      </c>
      <c r="D35" s="1">
        <v>1150711</v>
      </c>
      <c r="E35">
        <v>132</v>
      </c>
      <c r="F35" t="s">
        <v>9</v>
      </c>
      <c r="G35" t="s">
        <v>10</v>
      </c>
      <c r="H35" t="s">
        <v>664</v>
      </c>
      <c r="J35" t="s">
        <v>104</v>
      </c>
      <c r="K35" t="str">
        <v>262.55</v>
      </c>
      <c r="L35" s="2">
        <f t="shared" si="0"/>
        <v>262.55</v>
      </c>
      <c r="O35" s="3" t="s">
        <v>627</v>
      </c>
      <c r="P35" s="3"/>
      <c r="Q35" s="3"/>
      <c r="R35" s="3"/>
      <c r="X35" t="s">
        <v>657</v>
      </c>
      <c r="Y35">
        <f>COUNTIF(G6:I255, "History")</f>
        <v>9</v>
      </c>
      <c r="AA35">
        <v>2001</v>
      </c>
      <c r="AB35">
        <f>COUNTIF($B$2:$B$251, AA35)</f>
        <v>4</v>
      </c>
    </row>
    <row r="36" spans="1:28" x14ac:dyDescent="0.35">
      <c r="A36" t="s">
        <v>105</v>
      </c>
      <c r="B36">
        <v>1989</v>
      </c>
      <c r="C36">
        <v>8.5</v>
      </c>
      <c r="D36" s="1">
        <v>380478</v>
      </c>
      <c r="E36">
        <v>88</v>
      </c>
      <c r="F36" t="s">
        <v>22</v>
      </c>
      <c r="G36" t="s">
        <v>636</v>
      </c>
      <c r="H36" t="s">
        <v>10</v>
      </c>
      <c r="I36" t="s">
        <v>666</v>
      </c>
      <c r="J36" t="s">
        <v>107</v>
      </c>
      <c r="K36" t="str">
        <v>4.70</v>
      </c>
      <c r="L36" s="2">
        <f t="shared" si="0"/>
        <v>4.7</v>
      </c>
      <c r="X36" t="s">
        <v>645</v>
      </c>
      <c r="Y36">
        <f>COUNTIF(G6:I255, "Horror")</f>
        <v>8</v>
      </c>
      <c r="AA36">
        <v>2002</v>
      </c>
      <c r="AB36">
        <f>COUNTIF($B$2:$B$251, AA36)</f>
        <v>4</v>
      </c>
    </row>
    <row r="37" spans="1:28" x14ac:dyDescent="0.35">
      <c r="A37" t="s">
        <v>108</v>
      </c>
      <c r="B37">
        <v>1960</v>
      </c>
      <c r="C37">
        <v>8.5</v>
      </c>
      <c r="D37" s="1">
        <v>781795</v>
      </c>
      <c r="E37">
        <v>109</v>
      </c>
      <c r="F37" t="s">
        <v>9</v>
      </c>
      <c r="G37" t="s">
        <v>10</v>
      </c>
      <c r="H37" t="s">
        <v>569</v>
      </c>
      <c r="I37" t="s">
        <v>637</v>
      </c>
      <c r="J37" t="s">
        <v>110</v>
      </c>
      <c r="K37" t="str">
        <v>32.27</v>
      </c>
      <c r="L37" s="2">
        <f t="shared" si="0"/>
        <v>32.270000000000003</v>
      </c>
      <c r="X37" t="s">
        <v>656</v>
      </c>
      <c r="Y37">
        <f>COUNTIF(G1:I250, "Sport")</f>
        <v>6</v>
      </c>
      <c r="AA37">
        <v>1980</v>
      </c>
      <c r="AB37">
        <f>COUNTIF($B$2:$B$251, AA37)</f>
        <v>4</v>
      </c>
    </row>
    <row r="38" spans="1:28" x14ac:dyDescent="0.35">
      <c r="A38" t="s">
        <v>111</v>
      </c>
      <c r="B38">
        <v>1994</v>
      </c>
      <c r="C38">
        <v>8.5</v>
      </c>
      <c r="D38" s="1">
        <v>1251328</v>
      </c>
      <c r="E38">
        <v>88</v>
      </c>
      <c r="F38" t="s">
        <v>112</v>
      </c>
      <c r="G38" t="s">
        <v>636</v>
      </c>
      <c r="H38" t="s">
        <v>634</v>
      </c>
      <c r="I38" t="s">
        <v>10</v>
      </c>
      <c r="J38" t="s">
        <v>114</v>
      </c>
      <c r="K38" t="str">
        <v>979.16</v>
      </c>
      <c r="L38" s="2">
        <f t="shared" si="0"/>
        <v>979.16</v>
      </c>
      <c r="X38" t="s">
        <v>653</v>
      </c>
      <c r="Y38">
        <f>COUNTIF(G1:I248, "Western")</f>
        <v>6</v>
      </c>
      <c r="AA38">
        <v>2004</v>
      </c>
      <c r="AB38">
        <f>COUNTIF($B$2:$B$251, AA38)</f>
        <v>4</v>
      </c>
    </row>
    <row r="39" spans="1:28" x14ac:dyDescent="0.35">
      <c r="A39" t="s">
        <v>115</v>
      </c>
      <c r="B39">
        <v>1964</v>
      </c>
      <c r="C39">
        <v>8.6</v>
      </c>
      <c r="D39" s="1">
        <v>89994</v>
      </c>
      <c r="E39">
        <v>133</v>
      </c>
      <c r="F39" t="s">
        <v>22</v>
      </c>
      <c r="G39" t="s">
        <v>10</v>
      </c>
      <c r="H39" t="s">
        <v>637</v>
      </c>
      <c r="J39" t="s">
        <v>117</v>
      </c>
      <c r="K39" t="str">
        <v>0.02</v>
      </c>
      <c r="L39" s="2">
        <f t="shared" si="0"/>
        <v>0.02</v>
      </c>
      <c r="X39" t="s">
        <v>652</v>
      </c>
      <c r="Y39">
        <f>COUNTIF(G8:I257, "Music")</f>
        <v>5</v>
      </c>
      <c r="AA39">
        <v>2012</v>
      </c>
      <c r="AB39">
        <f>COUNTIF($B$2:$B$251, AA39)</f>
        <v>4</v>
      </c>
    </row>
    <row r="40" spans="1:28" x14ac:dyDescent="0.35">
      <c r="A40" t="s">
        <v>118</v>
      </c>
      <c r="B40">
        <v>2006</v>
      </c>
      <c r="C40">
        <v>8.5</v>
      </c>
      <c r="D40" s="1">
        <v>1545064</v>
      </c>
      <c r="E40">
        <v>151</v>
      </c>
      <c r="F40" t="s">
        <v>9</v>
      </c>
      <c r="G40" t="s">
        <v>632</v>
      </c>
      <c r="H40" t="s">
        <v>10</v>
      </c>
      <c r="I40" t="s">
        <v>664</v>
      </c>
      <c r="J40" t="s">
        <v>119</v>
      </c>
      <c r="K40" t="str">
        <v>292.10</v>
      </c>
      <c r="L40" s="2">
        <f t="shared" si="0"/>
        <v>292.10000000000002</v>
      </c>
      <c r="X40" t="s">
        <v>654</v>
      </c>
      <c r="Y40">
        <f>COUNTIF(G12:I261, "Film-Noir")</f>
        <v>3</v>
      </c>
      <c r="AA40">
        <v>2018</v>
      </c>
      <c r="AB40">
        <f>COUNTIF($B$2:$B$251, AA40)</f>
        <v>4</v>
      </c>
    </row>
    <row r="41" spans="1:28" x14ac:dyDescent="0.35">
      <c r="A41" t="s">
        <v>120</v>
      </c>
      <c r="B41">
        <v>2014</v>
      </c>
      <c r="C41">
        <v>8.5</v>
      </c>
      <c r="D41" s="1">
        <v>1143440</v>
      </c>
      <c r="E41">
        <v>106</v>
      </c>
      <c r="F41" t="s">
        <v>9</v>
      </c>
      <c r="G41" t="s">
        <v>10</v>
      </c>
      <c r="H41" t="s">
        <v>667</v>
      </c>
      <c r="J41" t="s">
        <v>122</v>
      </c>
      <c r="K41" t="str">
        <v>50.43</v>
      </c>
      <c r="L41" s="2">
        <f t="shared" si="0"/>
        <v>50.43</v>
      </c>
      <c r="X41" t="s">
        <v>655</v>
      </c>
      <c r="Y41">
        <f>COUNTIF(G9:I258, "Musical")</f>
        <v>1</v>
      </c>
      <c r="AA41">
        <v>1959</v>
      </c>
      <c r="AB41">
        <f>COUNTIF($B$2:$B$251, AA41)</f>
        <v>4</v>
      </c>
    </row>
    <row r="42" spans="1:28" x14ac:dyDescent="0.35">
      <c r="A42" t="s">
        <v>123</v>
      </c>
      <c r="B42">
        <v>2006</v>
      </c>
      <c r="C42">
        <v>8.5</v>
      </c>
      <c r="D42" s="1">
        <v>1576959</v>
      </c>
      <c r="E42">
        <v>130</v>
      </c>
      <c r="F42" t="s">
        <v>16</v>
      </c>
      <c r="G42" t="s">
        <v>10</v>
      </c>
      <c r="H42" t="s">
        <v>637</v>
      </c>
      <c r="I42" t="s">
        <v>665</v>
      </c>
      <c r="J42" t="s">
        <v>125</v>
      </c>
      <c r="K42" t="str">
        <v>109.68</v>
      </c>
      <c r="L42" s="2">
        <f t="shared" si="0"/>
        <v>109.68</v>
      </c>
      <c r="AA42">
        <v>2013</v>
      </c>
      <c r="AB42">
        <f>COUNTIF($B$2:$B$251, AA42)</f>
        <v>4</v>
      </c>
    </row>
    <row r="43" spans="1:28" x14ac:dyDescent="0.35">
      <c r="A43" t="s">
        <v>126</v>
      </c>
      <c r="B43">
        <v>2025</v>
      </c>
      <c r="C43">
        <v>8.8000000000000007</v>
      </c>
      <c r="D43" s="1">
        <v>30141</v>
      </c>
      <c r="E43">
        <v>253</v>
      </c>
      <c r="F43" t="s">
        <v>22</v>
      </c>
      <c r="G43" t="s">
        <v>633</v>
      </c>
      <c r="H43" t="s">
        <v>632</v>
      </c>
      <c r="I43" t="s">
        <v>664</v>
      </c>
      <c r="J43" t="s">
        <v>128</v>
      </c>
      <c r="K43" t="str">
        <v>6.72</v>
      </c>
      <c r="L43" s="2">
        <f t="shared" si="0"/>
        <v>6.72</v>
      </c>
      <c r="AA43">
        <v>2016</v>
      </c>
      <c r="AB43">
        <f>COUNTIF($B$2:$B$251, AA43)</f>
        <v>4</v>
      </c>
    </row>
    <row r="44" spans="1:28" x14ac:dyDescent="0.35">
      <c r="A44" t="s">
        <v>129</v>
      </c>
      <c r="B44">
        <v>1998</v>
      </c>
      <c r="C44">
        <v>8.5</v>
      </c>
      <c r="D44" s="1">
        <v>1267862</v>
      </c>
      <c r="E44">
        <v>119</v>
      </c>
      <c r="F44" t="s">
        <v>9</v>
      </c>
      <c r="G44" t="s">
        <v>632</v>
      </c>
      <c r="H44" t="s">
        <v>10</v>
      </c>
      <c r="J44" t="s">
        <v>130</v>
      </c>
      <c r="K44" t="str">
        <v>23.88</v>
      </c>
      <c r="L44" s="2">
        <f t="shared" si="0"/>
        <v>23.88</v>
      </c>
      <c r="AA44">
        <v>2015</v>
      </c>
      <c r="AB44">
        <f>COUNTIF($B$2:$B$251, AA44)</f>
        <v>4</v>
      </c>
    </row>
    <row r="45" spans="1:28" x14ac:dyDescent="0.35">
      <c r="A45" t="s">
        <v>131</v>
      </c>
      <c r="B45">
        <v>1994</v>
      </c>
      <c r="C45">
        <v>8.5</v>
      </c>
      <c r="D45" s="1">
        <v>1344671</v>
      </c>
      <c r="E45">
        <v>110</v>
      </c>
      <c r="F45" t="s">
        <v>9</v>
      </c>
      <c r="G45" t="s">
        <v>633</v>
      </c>
      <c r="H45" t="s">
        <v>632</v>
      </c>
      <c r="I45" t="s">
        <v>10</v>
      </c>
      <c r="J45" t="s">
        <v>132</v>
      </c>
      <c r="K45" t="str">
        <v>20.33</v>
      </c>
      <c r="L45" s="2">
        <f t="shared" si="0"/>
        <v>20.329999999999998</v>
      </c>
      <c r="AA45">
        <v>1972</v>
      </c>
      <c r="AB45">
        <f>COUNTIF($B$2:$B$251, AA45)</f>
        <v>3</v>
      </c>
    </row>
    <row r="46" spans="1:28" x14ac:dyDescent="0.35">
      <c r="A46" t="s">
        <v>133</v>
      </c>
      <c r="B46">
        <v>2023</v>
      </c>
      <c r="C46">
        <v>8.5</v>
      </c>
      <c r="D46" s="1">
        <v>513688</v>
      </c>
      <c r="E46">
        <v>140</v>
      </c>
      <c r="F46" t="s">
        <v>49</v>
      </c>
      <c r="G46" t="s">
        <v>636</v>
      </c>
      <c r="H46" t="s">
        <v>633</v>
      </c>
      <c r="I46" t="s">
        <v>634</v>
      </c>
      <c r="J46" t="s">
        <v>135</v>
      </c>
      <c r="K46" t="str">
        <v>690.82</v>
      </c>
      <c r="L46" s="2">
        <f t="shared" si="0"/>
        <v>690.82</v>
      </c>
      <c r="AA46">
        <v>2008</v>
      </c>
      <c r="AB46">
        <f>COUNTIF($B$2:$B$251, AA46)</f>
        <v>3</v>
      </c>
    </row>
    <row r="47" spans="1:28" x14ac:dyDescent="0.35">
      <c r="A47" t="s">
        <v>136</v>
      </c>
      <c r="B47">
        <v>1990</v>
      </c>
      <c r="C47">
        <v>8.5</v>
      </c>
      <c r="D47" s="1">
        <v>315853</v>
      </c>
      <c r="E47">
        <v>174</v>
      </c>
      <c r="F47" t="s">
        <v>49</v>
      </c>
      <c r="G47" t="s">
        <v>10</v>
      </c>
      <c r="H47" t="s">
        <v>663</v>
      </c>
      <c r="J47" t="s">
        <v>137</v>
      </c>
      <c r="K47" t="str">
        <v>13.50</v>
      </c>
      <c r="L47" s="2">
        <f t="shared" si="0"/>
        <v>13.5</v>
      </c>
      <c r="AA47">
        <v>1957</v>
      </c>
      <c r="AB47">
        <f>COUNTIF($B$2:$B$251, AA47)</f>
        <v>3</v>
      </c>
    </row>
    <row r="48" spans="1:28" x14ac:dyDescent="0.35">
      <c r="A48" t="s">
        <v>138</v>
      </c>
      <c r="B48">
        <v>1943</v>
      </c>
      <c r="C48">
        <v>8.5</v>
      </c>
      <c r="D48" s="1">
        <v>653074</v>
      </c>
      <c r="E48">
        <v>102</v>
      </c>
      <c r="F48" t="s">
        <v>49</v>
      </c>
      <c r="G48" t="s">
        <v>10</v>
      </c>
      <c r="H48" t="s">
        <v>663</v>
      </c>
      <c r="I48" t="s">
        <v>666</v>
      </c>
      <c r="J48" t="s">
        <v>140</v>
      </c>
      <c r="K48" t="str">
        <v>4.74</v>
      </c>
      <c r="L48" s="2">
        <f t="shared" si="0"/>
        <v>4.74</v>
      </c>
      <c r="AA48">
        <v>1967</v>
      </c>
      <c r="AB48">
        <f>COUNTIF($B$2:$B$251, AA48)</f>
        <v>3</v>
      </c>
    </row>
    <row r="49" spans="1:28" x14ac:dyDescent="0.35">
      <c r="A49" t="s">
        <v>141</v>
      </c>
      <c r="B49">
        <v>2011</v>
      </c>
      <c r="C49">
        <v>8.5</v>
      </c>
      <c r="D49" s="1">
        <v>1020643</v>
      </c>
      <c r="E49">
        <v>112</v>
      </c>
      <c r="F49" t="s">
        <v>9</v>
      </c>
      <c r="G49" t="s">
        <v>443</v>
      </c>
      <c r="H49" t="s">
        <v>10</v>
      </c>
      <c r="J49" t="s">
        <v>143</v>
      </c>
      <c r="K49" t="str">
        <v>426.59</v>
      </c>
      <c r="L49" s="2">
        <f t="shared" si="0"/>
        <v>426.59</v>
      </c>
      <c r="AA49">
        <v>1990</v>
      </c>
      <c r="AB49">
        <f>COUNTIF($B$2:$B$251, AA49)</f>
        <v>3</v>
      </c>
    </row>
    <row r="50" spans="1:28" x14ac:dyDescent="0.35">
      <c r="A50" t="s">
        <v>144</v>
      </c>
      <c r="B50">
        <v>1995</v>
      </c>
      <c r="C50">
        <v>8.5</v>
      </c>
      <c r="D50" s="1">
        <v>1232633</v>
      </c>
      <c r="E50">
        <v>106</v>
      </c>
      <c r="F50" t="s">
        <v>9</v>
      </c>
      <c r="G50" t="s">
        <v>632</v>
      </c>
      <c r="H50" t="s">
        <v>10</v>
      </c>
      <c r="I50" t="s">
        <v>637</v>
      </c>
      <c r="J50" t="s">
        <v>145</v>
      </c>
      <c r="K50" t="str">
        <v>23.34</v>
      </c>
      <c r="L50" s="2">
        <f t="shared" si="0"/>
        <v>23.34</v>
      </c>
      <c r="AA50">
        <v>1997</v>
      </c>
      <c r="AB50">
        <f>COUNTIF($B$2:$B$251, AA50)</f>
        <v>3</v>
      </c>
    </row>
    <row r="51" spans="1:28" x14ac:dyDescent="0.35">
      <c r="A51" t="s">
        <v>146</v>
      </c>
      <c r="B51">
        <v>1979</v>
      </c>
      <c r="C51">
        <v>8.5</v>
      </c>
      <c r="D51" s="1">
        <v>1058161</v>
      </c>
      <c r="E51">
        <v>117</v>
      </c>
      <c r="F51" t="s">
        <v>9</v>
      </c>
      <c r="G51" t="s">
        <v>569</v>
      </c>
      <c r="H51" t="s">
        <v>665</v>
      </c>
      <c r="J51" t="s">
        <v>148</v>
      </c>
      <c r="K51" t="str">
        <v>109.51</v>
      </c>
      <c r="L51" s="2">
        <f t="shared" si="0"/>
        <v>109.51</v>
      </c>
      <c r="AA51">
        <v>1985</v>
      </c>
      <c r="AB51">
        <f>COUNTIF($B$2:$B$251, AA51)</f>
        <v>3</v>
      </c>
    </row>
    <row r="52" spans="1:28" x14ac:dyDescent="0.35">
      <c r="A52" t="s">
        <v>149</v>
      </c>
      <c r="B52">
        <v>2012</v>
      </c>
      <c r="C52">
        <v>8.5</v>
      </c>
      <c r="D52" s="1">
        <v>1870222</v>
      </c>
      <c r="E52">
        <v>165</v>
      </c>
      <c r="F52" t="s">
        <v>9</v>
      </c>
      <c r="G52" t="s">
        <v>10</v>
      </c>
      <c r="H52" t="s">
        <v>662</v>
      </c>
      <c r="J52" t="s">
        <v>151</v>
      </c>
      <c r="K52" t="str">
        <v>426.08</v>
      </c>
      <c r="L52" s="2">
        <f t="shared" si="0"/>
        <v>426.08</v>
      </c>
      <c r="AA52">
        <v>1989</v>
      </c>
      <c r="AB52">
        <f>COUNTIF($B$2:$B$251, AA52)</f>
        <v>3</v>
      </c>
    </row>
    <row r="53" spans="1:28" x14ac:dyDescent="0.35">
      <c r="A53" t="s">
        <v>152</v>
      </c>
      <c r="B53">
        <v>1936</v>
      </c>
      <c r="C53">
        <v>8.5</v>
      </c>
      <c r="D53" s="1">
        <v>284271</v>
      </c>
      <c r="E53">
        <v>87</v>
      </c>
      <c r="F53" t="s">
        <v>112</v>
      </c>
      <c r="G53" t="s">
        <v>443</v>
      </c>
      <c r="H53" t="s">
        <v>10</v>
      </c>
      <c r="I53" t="s">
        <v>663</v>
      </c>
      <c r="J53" t="s">
        <v>153</v>
      </c>
      <c r="K53" t="str">
        <v>0.47</v>
      </c>
      <c r="L53" s="2">
        <f t="shared" si="0"/>
        <v>0.47</v>
      </c>
      <c r="AA53">
        <v>2006</v>
      </c>
      <c r="AB53">
        <f>COUNTIF($B$2:$B$251, AA53)</f>
        <v>3</v>
      </c>
    </row>
    <row r="54" spans="1:28" x14ac:dyDescent="0.35">
      <c r="A54" t="s">
        <v>154</v>
      </c>
      <c r="B54">
        <v>1954</v>
      </c>
      <c r="C54">
        <v>8.5</v>
      </c>
      <c r="D54" s="1">
        <v>566914</v>
      </c>
      <c r="E54">
        <v>112</v>
      </c>
      <c r="F54" t="s">
        <v>49</v>
      </c>
      <c r="G54" t="s">
        <v>10</v>
      </c>
      <c r="H54" t="s">
        <v>637</v>
      </c>
      <c r="I54" t="s">
        <v>664</v>
      </c>
      <c r="J54" t="s">
        <v>156</v>
      </c>
      <c r="K54" t="str">
        <v>37.92</v>
      </c>
      <c r="L54" s="2">
        <f t="shared" si="0"/>
        <v>37.92</v>
      </c>
      <c r="AA54">
        <v>2025</v>
      </c>
      <c r="AB54">
        <f>COUNTIF($B$2:$B$251, AA54)</f>
        <v>3</v>
      </c>
    </row>
    <row r="55" spans="1:28" x14ac:dyDescent="0.35">
      <c r="A55" t="s">
        <v>157</v>
      </c>
      <c r="B55">
        <v>1969</v>
      </c>
      <c r="C55">
        <v>8.5</v>
      </c>
      <c r="D55" s="1">
        <v>382606</v>
      </c>
      <c r="E55">
        <v>145</v>
      </c>
      <c r="F55" t="s">
        <v>16</v>
      </c>
      <c r="G55" t="s">
        <v>10</v>
      </c>
      <c r="H55" t="s">
        <v>662</v>
      </c>
      <c r="J55" t="s">
        <v>158</v>
      </c>
      <c r="K55" t="str">
        <v>5.44</v>
      </c>
      <c r="L55" s="2">
        <f t="shared" si="0"/>
        <v>5.44</v>
      </c>
      <c r="AA55">
        <v>2023</v>
      </c>
      <c r="AB55">
        <f>COUNTIF($B$2:$B$251, AA55)</f>
        <v>3</v>
      </c>
    </row>
    <row r="56" spans="1:28" x14ac:dyDescent="0.35">
      <c r="A56" t="s">
        <v>159</v>
      </c>
      <c r="B56">
        <v>1931</v>
      </c>
      <c r="C56">
        <v>8.5</v>
      </c>
      <c r="D56" s="1">
        <v>215684</v>
      </c>
      <c r="E56">
        <v>87</v>
      </c>
      <c r="F56" t="s">
        <v>112</v>
      </c>
      <c r="G56" t="s">
        <v>443</v>
      </c>
      <c r="H56" t="s">
        <v>10</v>
      </c>
      <c r="I56" t="s">
        <v>663</v>
      </c>
      <c r="J56" t="s">
        <v>160</v>
      </c>
      <c r="K56" t="str">
        <v>0.06</v>
      </c>
      <c r="L56" s="2">
        <f t="shared" si="0"/>
        <v>0.06</v>
      </c>
      <c r="AA56">
        <v>1979</v>
      </c>
      <c r="AB56">
        <f>COUNTIF($B$2:$B$251, AA56)</f>
        <v>3</v>
      </c>
    </row>
    <row r="57" spans="1:28" x14ac:dyDescent="0.35">
      <c r="A57" t="s">
        <v>161</v>
      </c>
      <c r="B57">
        <v>1979</v>
      </c>
      <c r="C57">
        <v>8.4</v>
      </c>
      <c r="D57" s="1">
        <v>766922</v>
      </c>
      <c r="E57">
        <v>147</v>
      </c>
      <c r="F57" t="s">
        <v>9</v>
      </c>
      <c r="G57" t="s">
        <v>10</v>
      </c>
      <c r="H57" t="s">
        <v>637</v>
      </c>
      <c r="I57" t="s">
        <v>666</v>
      </c>
      <c r="J57" t="s">
        <v>163</v>
      </c>
      <c r="K57" t="str">
        <v>105.27</v>
      </c>
      <c r="L57" s="2">
        <f t="shared" si="0"/>
        <v>105.27</v>
      </c>
      <c r="AA57">
        <v>1954</v>
      </c>
      <c r="AB57">
        <f>COUNTIF($B$2:$B$251, AA57)</f>
        <v>3</v>
      </c>
    </row>
    <row r="58" spans="1:28" x14ac:dyDescent="0.35">
      <c r="A58" t="s">
        <v>164</v>
      </c>
      <c r="B58">
        <v>2008</v>
      </c>
      <c r="C58">
        <v>8.4</v>
      </c>
      <c r="D58" s="1">
        <v>1311927</v>
      </c>
      <c r="E58">
        <v>98</v>
      </c>
      <c r="F58" t="s">
        <v>112</v>
      </c>
      <c r="G58" t="s">
        <v>636</v>
      </c>
      <c r="H58" t="s">
        <v>634</v>
      </c>
      <c r="I58" t="s">
        <v>659</v>
      </c>
      <c r="J58" t="s">
        <v>165</v>
      </c>
      <c r="K58" t="str">
        <v>527.40</v>
      </c>
      <c r="L58" s="2">
        <f t="shared" si="0"/>
        <v>527.4</v>
      </c>
      <c r="AA58">
        <v>2024</v>
      </c>
      <c r="AB58">
        <f>COUNTIF($B$2:$B$251, AA58)</f>
        <v>3</v>
      </c>
    </row>
    <row r="59" spans="1:28" x14ac:dyDescent="0.35">
      <c r="A59" t="s">
        <v>166</v>
      </c>
      <c r="B59">
        <v>2001</v>
      </c>
      <c r="C59">
        <v>8.4</v>
      </c>
      <c r="D59" s="1">
        <v>1427780</v>
      </c>
      <c r="E59">
        <v>113</v>
      </c>
      <c r="F59" t="s">
        <v>9</v>
      </c>
      <c r="G59" t="s">
        <v>10</v>
      </c>
      <c r="H59" t="s">
        <v>637</v>
      </c>
      <c r="I59" t="s">
        <v>664</v>
      </c>
      <c r="J59" t="s">
        <v>167</v>
      </c>
      <c r="K59" t="str">
        <v>40.06</v>
      </c>
      <c r="L59" s="2">
        <f t="shared" si="0"/>
        <v>40.06</v>
      </c>
      <c r="AA59">
        <v>1950</v>
      </c>
      <c r="AB59">
        <f>COUNTIF($B$2:$B$251, AA59)</f>
        <v>3</v>
      </c>
    </row>
    <row r="60" spans="1:28" x14ac:dyDescent="0.35">
      <c r="A60" t="s">
        <v>168</v>
      </c>
      <c r="B60">
        <v>2024</v>
      </c>
      <c r="C60">
        <v>8.4</v>
      </c>
      <c r="D60" s="1">
        <v>722936</v>
      </c>
      <c r="E60">
        <v>166</v>
      </c>
      <c r="F60" t="s">
        <v>16</v>
      </c>
      <c r="G60" t="s">
        <v>633</v>
      </c>
      <c r="H60" t="s">
        <v>634</v>
      </c>
      <c r="I60" t="s">
        <v>10</v>
      </c>
      <c r="J60" t="s">
        <v>169</v>
      </c>
      <c r="K60" t="str">
        <v>714.84</v>
      </c>
      <c r="L60" s="2">
        <f t="shared" si="0"/>
        <v>714.84</v>
      </c>
      <c r="AA60">
        <v>1958</v>
      </c>
      <c r="AB60">
        <f>COUNTIF($B$2:$B$251, AA60)</f>
        <v>3</v>
      </c>
    </row>
    <row r="61" spans="1:28" x14ac:dyDescent="0.35">
      <c r="A61" t="s">
        <v>170</v>
      </c>
      <c r="B61">
        <v>1981</v>
      </c>
      <c r="C61">
        <v>8.4</v>
      </c>
      <c r="D61" s="1">
        <v>1105828</v>
      </c>
      <c r="E61">
        <v>115</v>
      </c>
      <c r="F61" t="s">
        <v>49</v>
      </c>
      <c r="G61" t="s">
        <v>633</v>
      </c>
      <c r="H61" t="s">
        <v>634</v>
      </c>
      <c r="J61" t="s">
        <v>172</v>
      </c>
      <c r="K61" t="str">
        <v>389.93</v>
      </c>
      <c r="L61" s="2">
        <f t="shared" si="0"/>
        <v>389.93</v>
      </c>
      <c r="AA61">
        <v>1986</v>
      </c>
      <c r="AB61">
        <f>COUNTIF($B$2:$B$251, AA61)</f>
        <v>3</v>
      </c>
    </row>
    <row r="62" spans="1:28" x14ac:dyDescent="0.35">
      <c r="A62" t="s">
        <v>173</v>
      </c>
      <c r="B62">
        <v>2018</v>
      </c>
      <c r="C62">
        <v>8.4</v>
      </c>
      <c r="D62" s="1">
        <v>1359383</v>
      </c>
      <c r="E62">
        <v>149</v>
      </c>
      <c r="F62" t="s">
        <v>16</v>
      </c>
      <c r="G62" t="s">
        <v>633</v>
      </c>
      <c r="H62" t="s">
        <v>634</v>
      </c>
      <c r="I62" t="s">
        <v>665</v>
      </c>
      <c r="J62" t="s">
        <v>174</v>
      </c>
      <c r="K62" t="str">
        <v>2052.42</v>
      </c>
      <c r="L62" s="2">
        <f t="shared" si="0"/>
        <v>2052.42</v>
      </c>
      <c r="AA62">
        <v>1963</v>
      </c>
      <c r="AB62">
        <f>COUNTIF($B$2:$B$251, AA62)</f>
        <v>3</v>
      </c>
    </row>
    <row r="63" spans="1:28" x14ac:dyDescent="0.35">
      <c r="A63" t="s">
        <v>175</v>
      </c>
      <c r="B63">
        <v>2007</v>
      </c>
      <c r="C63">
        <v>8.4</v>
      </c>
      <c r="D63" s="1">
        <v>441636</v>
      </c>
      <c r="E63">
        <v>137</v>
      </c>
      <c r="F63" t="s">
        <v>9</v>
      </c>
      <c r="G63" t="s">
        <v>10</v>
      </c>
      <c r="H63" t="s">
        <v>637</v>
      </c>
      <c r="I63" t="s">
        <v>664</v>
      </c>
      <c r="J63" t="s">
        <v>176</v>
      </c>
      <c r="K63" t="str">
        <v>77.67</v>
      </c>
      <c r="L63" s="2">
        <f t="shared" si="0"/>
        <v>77.67</v>
      </c>
      <c r="AA63">
        <v>1984</v>
      </c>
      <c r="AB63">
        <f>COUNTIF($B$2:$B$251, AA63)</f>
        <v>3</v>
      </c>
    </row>
    <row r="64" spans="1:28" x14ac:dyDescent="0.35">
      <c r="A64" t="s">
        <v>177</v>
      </c>
      <c r="B64">
        <v>2018</v>
      </c>
      <c r="C64">
        <v>8.4</v>
      </c>
      <c r="D64" s="1">
        <v>780193</v>
      </c>
      <c r="E64">
        <v>117</v>
      </c>
      <c r="F64" t="s">
        <v>49</v>
      </c>
      <c r="G64" t="s">
        <v>636</v>
      </c>
      <c r="H64" t="s">
        <v>633</v>
      </c>
      <c r="I64" t="s">
        <v>634</v>
      </c>
      <c r="J64" t="s">
        <v>178</v>
      </c>
      <c r="K64" t="str">
        <v>394.88</v>
      </c>
      <c r="L64" s="2">
        <f t="shared" si="0"/>
        <v>394.88</v>
      </c>
      <c r="AA64">
        <v>1982</v>
      </c>
      <c r="AB64">
        <f>COUNTIF($B$2:$B$251, AA64)</f>
        <v>3</v>
      </c>
    </row>
    <row r="65" spans="1:28" x14ac:dyDescent="0.35">
      <c r="A65" t="s">
        <v>179</v>
      </c>
      <c r="B65">
        <v>1950</v>
      </c>
      <c r="C65">
        <v>8.4</v>
      </c>
      <c r="D65" s="1">
        <v>260009</v>
      </c>
      <c r="E65">
        <v>110</v>
      </c>
      <c r="F65" t="s">
        <v>22</v>
      </c>
      <c r="G65" t="s">
        <v>10</v>
      </c>
      <c r="H65" t="s">
        <v>668</v>
      </c>
      <c r="J65" t="s">
        <v>181</v>
      </c>
      <c r="K65" t="str">
        <v>0.34</v>
      </c>
      <c r="L65" s="2">
        <f t="shared" si="0"/>
        <v>0.34</v>
      </c>
      <c r="AA65">
        <v>1976</v>
      </c>
      <c r="AB65">
        <f>COUNTIF($B$2:$B$251, AA65)</f>
        <v>3</v>
      </c>
    </row>
    <row r="66" spans="1:28" x14ac:dyDescent="0.35">
      <c r="A66" t="s">
        <v>182</v>
      </c>
      <c r="B66">
        <v>1958</v>
      </c>
      <c r="C66">
        <v>8.4</v>
      </c>
      <c r="D66" s="1">
        <v>160732</v>
      </c>
      <c r="E66">
        <v>116</v>
      </c>
      <c r="F66" t="s">
        <v>22</v>
      </c>
      <c r="G66" t="s">
        <v>632</v>
      </c>
      <c r="H66" t="s">
        <v>10</v>
      </c>
      <c r="I66" t="s">
        <v>637</v>
      </c>
      <c r="J66" t="s">
        <v>23</v>
      </c>
      <c r="K66" t="str">
        <v>0.01</v>
      </c>
      <c r="L66" s="2">
        <f t="shared" si="0"/>
        <v>0.01</v>
      </c>
      <c r="AA66">
        <v>2021</v>
      </c>
      <c r="AB66">
        <f>COUNTIF($B$2:$B$251, AA66)</f>
        <v>3</v>
      </c>
    </row>
    <row r="67" spans="1:28" x14ac:dyDescent="0.35">
      <c r="A67" t="s">
        <v>183</v>
      </c>
      <c r="B67">
        <v>1957</v>
      </c>
      <c r="C67">
        <v>8.4</v>
      </c>
      <c r="D67" s="1">
        <v>237768</v>
      </c>
      <c r="E67">
        <v>88</v>
      </c>
      <c r="F67" t="s">
        <v>22</v>
      </c>
      <c r="G67" t="s">
        <v>10</v>
      </c>
      <c r="H67" t="s">
        <v>666</v>
      </c>
      <c r="J67" t="s">
        <v>23</v>
      </c>
      <c r="K67" t="str">
        <v>0.01</v>
      </c>
      <c r="L67" s="2">
        <f t="shared" ref="L67:L130" si="1">VALUE(K67)</f>
        <v>0.01</v>
      </c>
      <c r="AA67">
        <v>1996</v>
      </c>
      <c r="AB67">
        <f>COUNTIF($B$2:$B$251, AA67)</f>
        <v>3</v>
      </c>
    </row>
    <row r="68" spans="1:28" x14ac:dyDescent="0.35">
      <c r="A68" t="s">
        <v>184</v>
      </c>
      <c r="B68">
        <v>1980</v>
      </c>
      <c r="C68">
        <v>8.4</v>
      </c>
      <c r="D68" s="1">
        <v>1218463</v>
      </c>
      <c r="E68">
        <v>146</v>
      </c>
      <c r="F68" t="s">
        <v>9</v>
      </c>
      <c r="G68" t="s">
        <v>10</v>
      </c>
      <c r="H68" t="s">
        <v>569</v>
      </c>
      <c r="J68" t="s">
        <v>186</v>
      </c>
      <c r="K68" t="str">
        <v>50.29</v>
      </c>
      <c r="L68" s="2">
        <f t="shared" si="1"/>
        <v>50.29</v>
      </c>
      <c r="AA68">
        <v>1974</v>
      </c>
      <c r="AB68">
        <f>COUNTIF($B$2:$B$251, AA68)</f>
        <v>2</v>
      </c>
    </row>
    <row r="69" spans="1:28" x14ac:dyDescent="0.35">
      <c r="A69" t="s">
        <v>187</v>
      </c>
      <c r="B69">
        <v>1941</v>
      </c>
      <c r="C69">
        <v>8.4</v>
      </c>
      <c r="D69" s="1">
        <v>258580</v>
      </c>
      <c r="E69">
        <v>125</v>
      </c>
      <c r="F69" t="s">
        <v>112</v>
      </c>
      <c r="G69" t="s">
        <v>443</v>
      </c>
      <c r="H69" t="s">
        <v>10</v>
      </c>
      <c r="I69" t="s">
        <v>666</v>
      </c>
      <c r="J69" t="s">
        <v>189</v>
      </c>
      <c r="K69" t="str">
        <v>0.97</v>
      </c>
      <c r="L69" s="2">
        <f t="shared" si="1"/>
        <v>0.97</v>
      </c>
      <c r="AA69">
        <v>1947</v>
      </c>
      <c r="AB69">
        <f>COUNTIF($B$2:$B$251, AA69)</f>
        <v>2</v>
      </c>
    </row>
    <row r="70" spans="1:28" x14ac:dyDescent="0.35">
      <c r="A70" t="s">
        <v>190</v>
      </c>
      <c r="B70">
        <v>2009</v>
      </c>
      <c r="C70">
        <v>8.4</v>
      </c>
      <c r="D70" s="1">
        <v>1769293</v>
      </c>
      <c r="E70">
        <v>153</v>
      </c>
      <c r="F70" t="s">
        <v>9</v>
      </c>
      <c r="G70" t="s">
        <v>634</v>
      </c>
      <c r="H70" t="s">
        <v>10</v>
      </c>
      <c r="I70" t="s">
        <v>666</v>
      </c>
      <c r="J70" t="s">
        <v>192</v>
      </c>
      <c r="K70" t="str">
        <v>321.46</v>
      </c>
      <c r="L70" s="2">
        <f t="shared" si="1"/>
        <v>321.45999999999998</v>
      </c>
      <c r="AA70">
        <v>1991</v>
      </c>
      <c r="AB70">
        <f>COUNTIF($B$2:$B$251, AA70)</f>
        <v>2</v>
      </c>
    </row>
    <row r="71" spans="1:28" x14ac:dyDescent="0.35">
      <c r="A71" t="s">
        <v>193</v>
      </c>
      <c r="B71">
        <v>2023</v>
      </c>
      <c r="C71">
        <v>8.6999999999999993</v>
      </c>
      <c r="D71" s="1">
        <v>168898</v>
      </c>
      <c r="E71">
        <v>147</v>
      </c>
      <c r="F71" t="s">
        <v>22</v>
      </c>
      <c r="G71" t="s">
        <v>635</v>
      </c>
      <c r="H71" t="s">
        <v>10</v>
      </c>
      <c r="J71" t="s">
        <v>195</v>
      </c>
      <c r="K71" t="str">
        <v>0.14</v>
      </c>
      <c r="L71" s="2">
        <f t="shared" si="1"/>
        <v>0.14000000000000001</v>
      </c>
      <c r="AA71">
        <v>1956</v>
      </c>
      <c r="AB71">
        <f>COUNTIF($B$2:$B$251, AA71)</f>
        <v>2</v>
      </c>
    </row>
    <row r="72" spans="1:28" x14ac:dyDescent="0.35">
      <c r="A72" t="s">
        <v>196</v>
      </c>
      <c r="B72">
        <v>1986</v>
      </c>
      <c r="C72">
        <v>8.4</v>
      </c>
      <c r="D72" s="1">
        <v>837039</v>
      </c>
      <c r="E72">
        <v>137</v>
      </c>
      <c r="F72" t="s">
        <v>9</v>
      </c>
      <c r="G72" t="s">
        <v>633</v>
      </c>
      <c r="H72" t="s">
        <v>634</v>
      </c>
      <c r="I72" t="s">
        <v>569</v>
      </c>
      <c r="J72" t="s">
        <v>198</v>
      </c>
      <c r="K72" t="str">
        <v>131.06</v>
      </c>
      <c r="L72" s="2">
        <f t="shared" si="1"/>
        <v>131.06</v>
      </c>
      <c r="AA72">
        <v>2000</v>
      </c>
      <c r="AB72">
        <f>COUNTIF($B$2:$B$251, AA72)</f>
        <v>2</v>
      </c>
    </row>
    <row r="73" spans="1:28" x14ac:dyDescent="0.35">
      <c r="A73" t="s">
        <v>199</v>
      </c>
      <c r="B73">
        <v>1963</v>
      </c>
      <c r="C73">
        <v>8.4</v>
      </c>
      <c r="D73" s="1">
        <v>70730</v>
      </c>
      <c r="E73">
        <v>143</v>
      </c>
      <c r="F73" t="s">
        <v>22</v>
      </c>
      <c r="G73" t="s">
        <v>632</v>
      </c>
      <c r="H73" t="s">
        <v>10</v>
      </c>
      <c r="I73" t="s">
        <v>637</v>
      </c>
      <c r="J73" t="s">
        <v>160</v>
      </c>
      <c r="K73" t="str">
        <v>0.06</v>
      </c>
      <c r="L73" s="2">
        <f t="shared" si="1"/>
        <v>0.06</v>
      </c>
      <c r="AA73">
        <v>1960</v>
      </c>
      <c r="AB73">
        <f>COUNTIF($B$2:$B$251, AA73)</f>
        <v>2</v>
      </c>
    </row>
    <row r="74" spans="1:28" x14ac:dyDescent="0.35">
      <c r="A74" t="s">
        <v>200</v>
      </c>
      <c r="B74">
        <v>1998</v>
      </c>
      <c r="C74">
        <v>8.4</v>
      </c>
      <c r="D74" s="1">
        <v>1206463</v>
      </c>
      <c r="E74">
        <v>126</v>
      </c>
      <c r="F74" t="s">
        <v>9</v>
      </c>
      <c r="G74" t="s">
        <v>10</v>
      </c>
      <c r="H74" t="s">
        <v>663</v>
      </c>
      <c r="J74" t="s">
        <v>201</v>
      </c>
      <c r="K74" t="str">
        <v>225.93</v>
      </c>
      <c r="L74" s="2">
        <f t="shared" si="1"/>
        <v>225.93</v>
      </c>
      <c r="AA74">
        <v>1964</v>
      </c>
      <c r="AB74">
        <f>COUNTIF($B$2:$B$251, AA74)</f>
        <v>2</v>
      </c>
    </row>
    <row r="75" spans="1:28" x14ac:dyDescent="0.35">
      <c r="A75" t="s">
        <v>202</v>
      </c>
      <c r="B75">
        <v>2019</v>
      </c>
      <c r="C75">
        <v>8.4</v>
      </c>
      <c r="D75" s="1">
        <v>1432148</v>
      </c>
      <c r="E75">
        <v>181</v>
      </c>
      <c r="F75" t="s">
        <v>16</v>
      </c>
      <c r="G75" t="s">
        <v>633</v>
      </c>
      <c r="H75" t="s">
        <v>634</v>
      </c>
      <c r="I75" t="s">
        <v>665</v>
      </c>
      <c r="J75" t="s">
        <v>203</v>
      </c>
      <c r="K75" t="str">
        <v>2799.44</v>
      </c>
      <c r="L75" s="2">
        <f t="shared" si="1"/>
        <v>2799.44</v>
      </c>
      <c r="AA75">
        <v>1931</v>
      </c>
      <c r="AB75">
        <f>COUNTIF($B$2:$B$251, AA75)</f>
        <v>2</v>
      </c>
    </row>
    <row r="76" spans="1:28" x14ac:dyDescent="0.35">
      <c r="A76" t="s">
        <v>204</v>
      </c>
      <c r="B76">
        <v>2012</v>
      </c>
      <c r="C76">
        <v>8.4</v>
      </c>
      <c r="D76" s="1">
        <v>1982116</v>
      </c>
      <c r="E76">
        <v>164</v>
      </c>
      <c r="F76" t="s">
        <v>16</v>
      </c>
      <c r="G76" t="s">
        <v>633</v>
      </c>
      <c r="H76" t="s">
        <v>632</v>
      </c>
      <c r="I76" t="s">
        <v>10</v>
      </c>
      <c r="J76" t="s">
        <v>205</v>
      </c>
      <c r="K76" t="str">
        <v>1085.43</v>
      </c>
      <c r="L76" s="2">
        <f t="shared" si="1"/>
        <v>1085.43</v>
      </c>
      <c r="AA76">
        <v>1941</v>
      </c>
      <c r="AB76">
        <f>COUNTIF($B$2:$B$251, AA76)</f>
        <v>2</v>
      </c>
    </row>
    <row r="77" spans="1:28" x14ac:dyDescent="0.35">
      <c r="A77" t="s">
        <v>206</v>
      </c>
      <c r="B77">
        <v>2017</v>
      </c>
      <c r="C77">
        <v>8.4</v>
      </c>
      <c r="D77" s="1">
        <v>699365</v>
      </c>
      <c r="E77">
        <v>105</v>
      </c>
      <c r="F77" t="s">
        <v>49</v>
      </c>
      <c r="G77" t="s">
        <v>636</v>
      </c>
      <c r="H77" t="s">
        <v>634</v>
      </c>
      <c r="I77" t="s">
        <v>10</v>
      </c>
      <c r="J77" t="s">
        <v>207</v>
      </c>
      <c r="K77" t="str">
        <v>823.29</v>
      </c>
      <c r="L77" s="2">
        <f t="shared" si="1"/>
        <v>823.29</v>
      </c>
      <c r="AA77">
        <v>1983</v>
      </c>
      <c r="AB77">
        <f>COUNTIF($B$2:$B$251, AA77)</f>
        <v>2</v>
      </c>
    </row>
    <row r="78" spans="1:28" x14ac:dyDescent="0.35">
      <c r="A78" t="s">
        <v>208</v>
      </c>
      <c r="B78">
        <v>1984</v>
      </c>
      <c r="C78">
        <v>8.4</v>
      </c>
      <c r="D78" s="1">
        <v>465769</v>
      </c>
      <c r="E78">
        <v>160</v>
      </c>
      <c r="F78" t="s">
        <v>49</v>
      </c>
      <c r="G78" t="s">
        <v>635</v>
      </c>
      <c r="H78" t="s">
        <v>10</v>
      </c>
      <c r="I78" t="s">
        <v>667</v>
      </c>
      <c r="J78" t="s">
        <v>209</v>
      </c>
      <c r="K78" t="str">
        <v>52.27</v>
      </c>
      <c r="L78" s="2">
        <f t="shared" si="1"/>
        <v>52.27</v>
      </c>
      <c r="AA78">
        <v>1992</v>
      </c>
      <c r="AB78">
        <f>COUNTIF($B$2:$B$251, AA78)</f>
        <v>2</v>
      </c>
    </row>
    <row r="79" spans="1:28" x14ac:dyDescent="0.35">
      <c r="A79" t="s">
        <v>210</v>
      </c>
      <c r="B79">
        <v>1995</v>
      </c>
      <c r="C79">
        <v>8.3000000000000007</v>
      </c>
      <c r="D79" s="1">
        <v>1166702</v>
      </c>
      <c r="E79">
        <v>81</v>
      </c>
      <c r="F79" t="s">
        <v>112</v>
      </c>
      <c r="G79" t="s">
        <v>636</v>
      </c>
      <c r="H79" t="s">
        <v>634</v>
      </c>
      <c r="I79" t="s">
        <v>443</v>
      </c>
      <c r="J79" t="s">
        <v>212</v>
      </c>
      <c r="K79" t="str">
        <v>401.16</v>
      </c>
      <c r="L79" s="2">
        <f t="shared" si="1"/>
        <v>401.16</v>
      </c>
      <c r="AA79">
        <v>1973</v>
      </c>
      <c r="AB79">
        <f>COUNTIF($B$2:$B$251, AA79)</f>
        <v>2</v>
      </c>
    </row>
    <row r="80" spans="1:28" x14ac:dyDescent="0.35">
      <c r="A80" t="s">
        <v>213</v>
      </c>
      <c r="B80">
        <v>2017</v>
      </c>
      <c r="C80">
        <v>8.4</v>
      </c>
      <c r="D80" s="1">
        <v>387323</v>
      </c>
      <c r="E80">
        <v>106</v>
      </c>
      <c r="F80" t="s">
        <v>22</v>
      </c>
      <c r="G80" t="s">
        <v>636</v>
      </c>
      <c r="H80" t="s">
        <v>10</v>
      </c>
      <c r="I80" t="s">
        <v>660</v>
      </c>
      <c r="J80" t="s">
        <v>215</v>
      </c>
      <c r="K80" t="str">
        <v>405.32</v>
      </c>
      <c r="L80" s="2">
        <f t="shared" si="1"/>
        <v>405.32</v>
      </c>
      <c r="AA80">
        <v>1927</v>
      </c>
      <c r="AB80">
        <f>COUNTIF($B$2:$B$251, AA80)</f>
        <v>2</v>
      </c>
    </row>
    <row r="81" spans="1:28" x14ac:dyDescent="0.35">
      <c r="A81" t="s">
        <v>216</v>
      </c>
      <c r="B81">
        <v>1982</v>
      </c>
      <c r="C81">
        <v>8.3000000000000007</v>
      </c>
      <c r="D81" s="1">
        <v>286903</v>
      </c>
      <c r="E81">
        <v>149</v>
      </c>
      <c r="F81" t="s">
        <v>22</v>
      </c>
      <c r="G81" t="s">
        <v>10</v>
      </c>
      <c r="H81" t="s">
        <v>666</v>
      </c>
      <c r="J81" t="s">
        <v>217</v>
      </c>
      <c r="K81" t="str">
        <v>11.49</v>
      </c>
      <c r="L81" s="2">
        <f t="shared" si="1"/>
        <v>11.49</v>
      </c>
      <c r="AA81">
        <v>2020</v>
      </c>
      <c r="AB81">
        <f>COUNTIF($B$2:$B$251, AA81)</f>
        <v>2</v>
      </c>
    </row>
    <row r="82" spans="1:28" x14ac:dyDescent="0.35">
      <c r="A82" t="s">
        <v>218</v>
      </c>
      <c r="B82">
        <v>2003</v>
      </c>
      <c r="C82">
        <v>8.3000000000000007</v>
      </c>
      <c r="D82" s="1">
        <v>713159</v>
      </c>
      <c r="E82">
        <v>120</v>
      </c>
      <c r="F82" t="s">
        <v>9</v>
      </c>
      <c r="G82" t="s">
        <v>633</v>
      </c>
      <c r="H82" t="s">
        <v>10</v>
      </c>
      <c r="I82" t="s">
        <v>637</v>
      </c>
      <c r="J82" t="s">
        <v>220</v>
      </c>
      <c r="K82" t="str">
        <v>17.62</v>
      </c>
      <c r="L82" s="2">
        <f t="shared" si="1"/>
        <v>17.62</v>
      </c>
      <c r="AA82">
        <v>1961</v>
      </c>
      <c r="AB82">
        <f>COUNTIF($B$2:$B$251, AA82)</f>
        <v>2</v>
      </c>
    </row>
    <row r="83" spans="1:28" x14ac:dyDescent="0.35">
      <c r="A83" t="s">
        <v>221</v>
      </c>
      <c r="B83">
        <v>1995</v>
      </c>
      <c r="C83">
        <v>8.3000000000000007</v>
      </c>
      <c r="D83" s="1">
        <v>1156620</v>
      </c>
      <c r="E83">
        <v>178</v>
      </c>
      <c r="F83" t="s">
        <v>9</v>
      </c>
      <c r="G83" t="s">
        <v>635</v>
      </c>
      <c r="H83" t="s">
        <v>10</v>
      </c>
      <c r="I83" t="s">
        <v>666</v>
      </c>
      <c r="J83" t="s">
        <v>223</v>
      </c>
      <c r="K83" t="str">
        <v>213.22</v>
      </c>
      <c r="L83" s="2">
        <f t="shared" si="1"/>
        <v>213.22</v>
      </c>
      <c r="AA83">
        <v>1940</v>
      </c>
      <c r="AB83">
        <f>COUNTIF($B$2:$B$251, AA83)</f>
        <v>2</v>
      </c>
    </row>
    <row r="84" spans="1:28" x14ac:dyDescent="0.35">
      <c r="A84" t="s">
        <v>224</v>
      </c>
      <c r="B84">
        <v>1997</v>
      </c>
      <c r="C84">
        <v>8.3000000000000007</v>
      </c>
      <c r="D84" s="1">
        <v>480469</v>
      </c>
      <c r="E84">
        <v>133</v>
      </c>
      <c r="F84" t="s">
        <v>16</v>
      </c>
      <c r="G84" t="s">
        <v>636</v>
      </c>
      <c r="H84" t="s">
        <v>634</v>
      </c>
      <c r="I84" t="s">
        <v>660</v>
      </c>
      <c r="J84" t="s">
        <v>226</v>
      </c>
      <c r="K84" t="str">
        <v>33.81</v>
      </c>
      <c r="L84" s="2">
        <f t="shared" si="1"/>
        <v>33.81</v>
      </c>
      <c r="AA84">
        <v>1939</v>
      </c>
      <c r="AB84">
        <f>COUNTIF($B$2:$B$251, AA84)</f>
        <v>2</v>
      </c>
    </row>
    <row r="85" spans="1:28" x14ac:dyDescent="0.35">
      <c r="A85" t="s">
        <v>227</v>
      </c>
      <c r="B85">
        <v>1964</v>
      </c>
      <c r="C85">
        <v>8.3000000000000007</v>
      </c>
      <c r="D85" s="1">
        <v>549702</v>
      </c>
      <c r="E85">
        <v>95</v>
      </c>
      <c r="F85" t="s">
        <v>49</v>
      </c>
      <c r="G85" t="s">
        <v>443</v>
      </c>
      <c r="H85" t="s">
        <v>666</v>
      </c>
      <c r="J85" t="s">
        <v>229</v>
      </c>
      <c r="K85" t="str">
        <v>9.67</v>
      </c>
      <c r="L85" s="2">
        <f t="shared" si="1"/>
        <v>9.67</v>
      </c>
      <c r="AA85">
        <v>1977</v>
      </c>
      <c r="AB85">
        <f>COUNTIF($B$2:$B$251, AA85)</f>
        <v>1</v>
      </c>
    </row>
    <row r="86" spans="1:28" x14ac:dyDescent="0.35">
      <c r="A86" t="s">
        <v>230</v>
      </c>
      <c r="B86">
        <v>2009</v>
      </c>
      <c r="C86">
        <v>8.4</v>
      </c>
      <c r="D86" s="1">
        <v>478860</v>
      </c>
      <c r="E86">
        <v>170</v>
      </c>
      <c r="F86" t="s">
        <v>16</v>
      </c>
      <c r="G86" t="s">
        <v>443</v>
      </c>
      <c r="H86" t="s">
        <v>10</v>
      </c>
      <c r="J86" t="s">
        <v>231</v>
      </c>
      <c r="K86" t="str">
        <v>60.26</v>
      </c>
      <c r="L86" s="2">
        <f t="shared" si="1"/>
        <v>60.26</v>
      </c>
      <c r="AA86">
        <v>1943</v>
      </c>
      <c r="AB86">
        <f>COUNTIF($B$2:$B$251, AA86)</f>
        <v>1</v>
      </c>
    </row>
    <row r="87" spans="1:28" x14ac:dyDescent="0.35">
      <c r="A87" t="s">
        <v>232</v>
      </c>
      <c r="B87">
        <v>1999</v>
      </c>
      <c r="C87">
        <v>8.3000000000000007</v>
      </c>
      <c r="D87" s="1">
        <v>1275771</v>
      </c>
      <c r="E87">
        <v>122</v>
      </c>
      <c r="F87" t="s">
        <v>9</v>
      </c>
      <c r="G87" t="s">
        <v>10</v>
      </c>
      <c r="J87" t="s">
        <v>233</v>
      </c>
      <c r="K87" t="str">
        <v>356.30</v>
      </c>
      <c r="L87" s="2">
        <f t="shared" si="1"/>
        <v>356.3</v>
      </c>
      <c r="AA87">
        <v>1936</v>
      </c>
      <c r="AB87">
        <f>COUNTIF($B$2:$B$251, AA87)</f>
        <v>1</v>
      </c>
    </row>
    <row r="88" spans="1:28" x14ac:dyDescent="0.35">
      <c r="A88" t="s">
        <v>234</v>
      </c>
      <c r="B88">
        <v>2018</v>
      </c>
      <c r="C88">
        <v>8.4</v>
      </c>
      <c r="D88" s="1">
        <v>123170</v>
      </c>
      <c r="E88">
        <v>126</v>
      </c>
      <c r="F88" t="s">
        <v>9</v>
      </c>
      <c r="G88" t="s">
        <v>10</v>
      </c>
      <c r="J88" t="s">
        <v>235</v>
      </c>
      <c r="K88" t="str">
        <v>64.42</v>
      </c>
      <c r="L88" s="2">
        <f t="shared" si="1"/>
        <v>64.42</v>
      </c>
      <c r="AA88">
        <v>1969</v>
      </c>
      <c r="AB88">
        <f>COUNTIF($B$2:$B$251, AA88)</f>
        <v>1</v>
      </c>
    </row>
    <row r="89" spans="1:28" x14ac:dyDescent="0.35">
      <c r="A89" t="s">
        <v>236</v>
      </c>
      <c r="B89">
        <v>1952</v>
      </c>
      <c r="C89">
        <v>8.3000000000000007</v>
      </c>
      <c r="D89" s="1">
        <v>281252</v>
      </c>
      <c r="E89">
        <v>103</v>
      </c>
      <c r="F89" t="s">
        <v>112</v>
      </c>
      <c r="G89" t="s">
        <v>443</v>
      </c>
      <c r="H89" t="s">
        <v>669</v>
      </c>
      <c r="I89" t="s">
        <v>663</v>
      </c>
      <c r="J89" t="s">
        <v>238</v>
      </c>
      <c r="K89" t="str">
        <v>2.11</v>
      </c>
      <c r="L89" s="2">
        <f t="shared" si="1"/>
        <v>2.11</v>
      </c>
      <c r="AA89">
        <v>1981</v>
      </c>
      <c r="AB89">
        <f>COUNTIF($B$2:$B$251, AA89)</f>
        <v>1</v>
      </c>
    </row>
    <row r="90" spans="1:28" x14ac:dyDescent="0.35">
      <c r="A90" t="s">
        <v>239</v>
      </c>
      <c r="B90">
        <v>2019</v>
      </c>
      <c r="C90">
        <v>8.3000000000000007</v>
      </c>
      <c r="D90" s="1">
        <v>1680640</v>
      </c>
      <c r="E90">
        <v>122</v>
      </c>
      <c r="F90" t="s">
        <v>9</v>
      </c>
      <c r="G90" t="s">
        <v>632</v>
      </c>
      <c r="H90" t="s">
        <v>10</v>
      </c>
      <c r="I90" t="s">
        <v>664</v>
      </c>
      <c r="J90" t="s">
        <v>240</v>
      </c>
      <c r="K90" t="str">
        <v>1078.96</v>
      </c>
      <c r="L90" s="2">
        <f t="shared" si="1"/>
        <v>1078.96</v>
      </c>
      <c r="AA90">
        <v>1952</v>
      </c>
      <c r="AB90">
        <f>COUNTIF($B$2:$B$251, AA90)</f>
        <v>1</v>
      </c>
    </row>
    <row r="91" spans="1:28" x14ac:dyDescent="0.35">
      <c r="A91" t="s">
        <v>241</v>
      </c>
      <c r="B91">
        <v>1984</v>
      </c>
      <c r="C91">
        <v>8.3000000000000007</v>
      </c>
      <c r="D91" s="1">
        <v>407012</v>
      </c>
      <c r="E91">
        <v>229</v>
      </c>
      <c r="F91" t="s">
        <v>9</v>
      </c>
      <c r="G91" t="s">
        <v>632</v>
      </c>
      <c r="H91" t="s">
        <v>10</v>
      </c>
      <c r="J91" t="s">
        <v>242</v>
      </c>
      <c r="K91" t="str">
        <v>5.48</v>
      </c>
      <c r="L91" s="2">
        <f t="shared" si="1"/>
        <v>5.48</v>
      </c>
      <c r="AA91">
        <v>1962</v>
      </c>
      <c r="AB91">
        <f>COUNTIF($B$2:$B$251, AA91)</f>
        <v>1</v>
      </c>
    </row>
    <row r="92" spans="1:28" x14ac:dyDescent="0.35">
      <c r="A92" t="s">
        <v>243</v>
      </c>
      <c r="B92">
        <v>1985</v>
      </c>
      <c r="C92">
        <v>8.3000000000000007</v>
      </c>
      <c r="D92" s="1">
        <v>121365</v>
      </c>
      <c r="E92">
        <v>142</v>
      </c>
      <c r="F92" t="s">
        <v>22</v>
      </c>
      <c r="G92" t="s">
        <v>10</v>
      </c>
      <c r="H92" t="s">
        <v>664</v>
      </c>
      <c r="I92" t="s">
        <v>666</v>
      </c>
      <c r="J92" t="s">
        <v>245</v>
      </c>
      <c r="K92" t="str">
        <v>20.93</v>
      </c>
      <c r="L92" s="2">
        <f t="shared" si="1"/>
        <v>20.93</v>
      </c>
      <c r="AA92">
        <v>1968</v>
      </c>
      <c r="AB92">
        <f>COUNTIF($B$2:$B$251, AA92)</f>
        <v>1</v>
      </c>
    </row>
    <row r="93" spans="1:28" x14ac:dyDescent="0.35">
      <c r="A93" t="s">
        <v>246</v>
      </c>
      <c r="B93">
        <v>1983</v>
      </c>
      <c r="C93">
        <v>8.3000000000000007</v>
      </c>
      <c r="D93" s="1">
        <v>1203209</v>
      </c>
      <c r="E93">
        <v>131</v>
      </c>
      <c r="F93" t="s">
        <v>49</v>
      </c>
      <c r="G93" t="s">
        <v>633</v>
      </c>
      <c r="H93" t="s">
        <v>634</v>
      </c>
      <c r="I93" t="s">
        <v>660</v>
      </c>
      <c r="J93" t="s">
        <v>247</v>
      </c>
      <c r="K93" t="str">
        <v>482.47</v>
      </c>
      <c r="L93" s="2">
        <f t="shared" si="1"/>
        <v>482.47</v>
      </c>
      <c r="AA93">
        <v>1944</v>
      </c>
      <c r="AB93">
        <f>COUNTIF($B$2:$B$251, AA93)</f>
        <v>1</v>
      </c>
    </row>
    <row r="94" spans="1:28" x14ac:dyDescent="0.35">
      <c r="A94" t="s">
        <v>248</v>
      </c>
      <c r="B94">
        <v>2000</v>
      </c>
      <c r="C94">
        <v>8.3000000000000007</v>
      </c>
      <c r="D94" s="1">
        <v>968756</v>
      </c>
      <c r="E94">
        <v>102</v>
      </c>
      <c r="F94" t="s">
        <v>249</v>
      </c>
      <c r="G94" t="s">
        <v>10</v>
      </c>
      <c r="J94" t="s">
        <v>250</v>
      </c>
      <c r="K94" t="str">
        <v>7.39</v>
      </c>
      <c r="L94" s="2">
        <f t="shared" si="1"/>
        <v>7.39</v>
      </c>
      <c r="AA94">
        <v>1987</v>
      </c>
      <c r="AB94">
        <f>COUNTIF($B$2:$B$251, AA94)</f>
        <v>1</v>
      </c>
    </row>
    <row r="95" spans="1:28" x14ac:dyDescent="0.35">
      <c r="A95" t="s">
        <v>251</v>
      </c>
      <c r="B95">
        <v>2010</v>
      </c>
      <c r="C95">
        <v>8.3000000000000007</v>
      </c>
      <c r="D95" s="1">
        <v>964317</v>
      </c>
      <c r="E95">
        <v>103</v>
      </c>
      <c r="F95" t="s">
        <v>112</v>
      </c>
      <c r="G95" t="s">
        <v>636</v>
      </c>
      <c r="H95" t="s">
        <v>634</v>
      </c>
      <c r="I95" t="s">
        <v>443</v>
      </c>
      <c r="J95" t="s">
        <v>252</v>
      </c>
      <c r="K95" t="str">
        <v>1067.32</v>
      </c>
      <c r="L95" s="2">
        <f t="shared" si="1"/>
        <v>1067.32</v>
      </c>
      <c r="AA95">
        <v>1988</v>
      </c>
      <c r="AB95">
        <f>COUNTIF($B$2:$B$251, AA95)</f>
        <v>1</v>
      </c>
    </row>
    <row r="96" spans="1:28" x14ac:dyDescent="0.35">
      <c r="A96" t="s">
        <v>253</v>
      </c>
      <c r="B96">
        <v>1956</v>
      </c>
      <c r="C96">
        <v>8.3000000000000007</v>
      </c>
      <c r="D96" s="1">
        <v>101603</v>
      </c>
      <c r="E96">
        <v>143</v>
      </c>
      <c r="F96" t="s">
        <v>22</v>
      </c>
      <c r="G96" t="s">
        <v>10</v>
      </c>
      <c r="J96" t="s">
        <v>254</v>
      </c>
      <c r="K96" t="str">
        <v>0.11</v>
      </c>
      <c r="L96" s="2">
        <f t="shared" si="1"/>
        <v>0.11</v>
      </c>
      <c r="AA96">
        <v>1949</v>
      </c>
      <c r="AB96">
        <f>COUNTIF($B$2:$B$251, AA96)</f>
        <v>1</v>
      </c>
    </row>
    <row r="97" spans="1:28" x14ac:dyDescent="0.35">
      <c r="A97" t="s">
        <v>255</v>
      </c>
      <c r="B97">
        <v>2012</v>
      </c>
      <c r="C97">
        <v>8.3000000000000007</v>
      </c>
      <c r="D97" s="1">
        <v>406436</v>
      </c>
      <c r="E97">
        <v>115</v>
      </c>
      <c r="F97" t="s">
        <v>9</v>
      </c>
      <c r="G97" t="s">
        <v>10</v>
      </c>
      <c r="J97" t="s">
        <v>256</v>
      </c>
      <c r="K97" t="str">
        <v>15.89</v>
      </c>
      <c r="L97" s="2">
        <f t="shared" si="1"/>
        <v>15.89</v>
      </c>
      <c r="AA97">
        <v>1993</v>
      </c>
      <c r="AB97">
        <f>COUNTIF($B$2:$B$251, AA97)</f>
        <v>1</v>
      </c>
    </row>
    <row r="98" spans="1:28" x14ac:dyDescent="0.35">
      <c r="A98" t="s">
        <v>257</v>
      </c>
      <c r="B98">
        <v>2011</v>
      </c>
      <c r="C98">
        <v>8.3000000000000007</v>
      </c>
      <c r="D98" s="1">
        <v>247689</v>
      </c>
      <c r="E98">
        <v>131</v>
      </c>
      <c r="F98" t="s">
        <v>9</v>
      </c>
      <c r="G98" t="s">
        <v>10</v>
      </c>
      <c r="H98" t="s">
        <v>637</v>
      </c>
      <c r="I98" t="s">
        <v>666</v>
      </c>
      <c r="J98" t="s">
        <v>258</v>
      </c>
      <c r="K98" t="str">
        <v>6.79</v>
      </c>
      <c r="L98" s="2">
        <f t="shared" si="1"/>
        <v>6.79</v>
      </c>
      <c r="AA98">
        <v>1921</v>
      </c>
      <c r="AB98">
        <f>COUNTIF($B$2:$B$251, AA98)</f>
        <v>1</v>
      </c>
    </row>
    <row r="99" spans="1:28" x14ac:dyDescent="0.35">
      <c r="A99" t="s">
        <v>259</v>
      </c>
      <c r="B99">
        <v>2004</v>
      </c>
      <c r="C99">
        <v>8.3000000000000007</v>
      </c>
      <c r="D99" s="1">
        <v>1176721</v>
      </c>
      <c r="E99">
        <v>108</v>
      </c>
      <c r="F99" t="s">
        <v>9</v>
      </c>
      <c r="G99" t="s">
        <v>10</v>
      </c>
      <c r="H99" t="s">
        <v>663</v>
      </c>
      <c r="I99" t="s">
        <v>665</v>
      </c>
      <c r="J99" t="s">
        <v>261</v>
      </c>
      <c r="K99" t="str">
        <v>73.31</v>
      </c>
      <c r="L99" s="2">
        <f t="shared" si="1"/>
        <v>73.31</v>
      </c>
      <c r="AA99">
        <v>2022</v>
      </c>
      <c r="AB99">
        <f>COUNTIF($B$2:$B$251, AA99)</f>
        <v>1</v>
      </c>
    </row>
    <row r="100" spans="1:28" x14ac:dyDescent="0.35">
      <c r="A100" t="s">
        <v>262</v>
      </c>
      <c r="B100">
        <v>1960</v>
      </c>
      <c r="C100">
        <v>8.3000000000000007</v>
      </c>
      <c r="D100" s="1">
        <v>218092</v>
      </c>
      <c r="E100">
        <v>125</v>
      </c>
      <c r="F100" t="s">
        <v>22</v>
      </c>
      <c r="G100" t="s">
        <v>443</v>
      </c>
      <c r="H100" t="s">
        <v>10</v>
      </c>
      <c r="I100" t="s">
        <v>663</v>
      </c>
      <c r="J100" t="s">
        <v>263</v>
      </c>
      <c r="K100" t="str">
        <v>18.78</v>
      </c>
      <c r="L100" s="2">
        <f t="shared" si="1"/>
        <v>18.78</v>
      </c>
      <c r="AA100">
        <v>1948</v>
      </c>
      <c r="AB100">
        <f>COUNTIF($B$2:$B$251, AA100)</f>
        <v>1</v>
      </c>
    </row>
    <row r="101" spans="1:28" x14ac:dyDescent="0.35">
      <c r="A101" t="s">
        <v>264</v>
      </c>
      <c r="B101">
        <v>1962</v>
      </c>
      <c r="C101">
        <v>8.3000000000000007</v>
      </c>
      <c r="D101" s="1">
        <v>340320</v>
      </c>
      <c r="E101">
        <v>227</v>
      </c>
      <c r="F101" t="s">
        <v>22</v>
      </c>
      <c r="G101" t="s">
        <v>634</v>
      </c>
      <c r="H101" t="s">
        <v>635</v>
      </c>
      <c r="I101" t="s">
        <v>10</v>
      </c>
      <c r="J101" t="s">
        <v>266</v>
      </c>
      <c r="K101" t="str">
        <v>46.01</v>
      </c>
      <c r="L101" s="2">
        <f t="shared" si="1"/>
        <v>46.01</v>
      </c>
      <c r="AA101">
        <v>1951</v>
      </c>
      <c r="AB101">
        <f>COUNTIF($B$2:$B$251, AA101)</f>
        <v>1</v>
      </c>
    </row>
    <row r="102" spans="1:28" x14ac:dyDescent="0.35">
      <c r="A102" t="s">
        <v>267</v>
      </c>
      <c r="B102">
        <v>1968</v>
      </c>
      <c r="C102">
        <v>8.3000000000000007</v>
      </c>
      <c r="D102" s="1">
        <v>778954</v>
      </c>
      <c r="E102">
        <v>149</v>
      </c>
      <c r="F102" t="s">
        <v>112</v>
      </c>
      <c r="G102" t="s">
        <v>634</v>
      </c>
      <c r="H102" t="s">
        <v>665</v>
      </c>
      <c r="J102" t="s">
        <v>269</v>
      </c>
      <c r="K102" t="str">
        <v>68.01</v>
      </c>
      <c r="L102" s="2">
        <f t="shared" si="1"/>
        <v>68.010000000000005</v>
      </c>
      <c r="AA102">
        <v>1925</v>
      </c>
      <c r="AB102">
        <f>COUNTIF($B$2:$B$251, AA102)</f>
        <v>1</v>
      </c>
    </row>
    <row r="103" spans="1:28" x14ac:dyDescent="0.35">
      <c r="A103" t="s">
        <v>270</v>
      </c>
      <c r="B103">
        <v>1995</v>
      </c>
      <c r="C103">
        <v>8.3000000000000007</v>
      </c>
      <c r="D103" s="1">
        <v>796873</v>
      </c>
      <c r="E103">
        <v>170</v>
      </c>
      <c r="F103" t="s">
        <v>9</v>
      </c>
      <c r="G103" t="s">
        <v>633</v>
      </c>
      <c r="H103" t="s">
        <v>632</v>
      </c>
      <c r="I103" t="s">
        <v>10</v>
      </c>
      <c r="J103" t="s">
        <v>271</v>
      </c>
      <c r="K103" t="str">
        <v>187.44</v>
      </c>
      <c r="L103" s="2">
        <f t="shared" si="1"/>
        <v>187.44</v>
      </c>
      <c r="AA103">
        <v>1924</v>
      </c>
      <c r="AB103">
        <f>COUNTIF($B$2:$B$251, AA103)</f>
        <v>1</v>
      </c>
    </row>
    <row r="104" spans="1:28" x14ac:dyDescent="0.35">
      <c r="A104" t="s">
        <v>272</v>
      </c>
      <c r="B104">
        <v>1992</v>
      </c>
      <c r="C104">
        <v>8.3000000000000007</v>
      </c>
      <c r="D104" s="1">
        <v>1165366</v>
      </c>
      <c r="E104">
        <v>99</v>
      </c>
      <c r="F104" t="s">
        <v>9</v>
      </c>
      <c r="G104" t="s">
        <v>632</v>
      </c>
      <c r="H104" t="s">
        <v>664</v>
      </c>
      <c r="J104" t="s">
        <v>274</v>
      </c>
      <c r="K104" t="str">
        <v>2.94</v>
      </c>
      <c r="L104" s="2">
        <f t="shared" si="1"/>
        <v>2.94</v>
      </c>
      <c r="AA104">
        <v>1955</v>
      </c>
      <c r="AB104">
        <f>COUNTIF($B$2:$B$251, AA104)</f>
        <v>1</v>
      </c>
    </row>
    <row r="105" spans="1:28" x14ac:dyDescent="0.35">
      <c r="A105" t="s">
        <v>275</v>
      </c>
      <c r="B105">
        <v>1983</v>
      </c>
      <c r="C105">
        <v>8.3000000000000007</v>
      </c>
      <c r="D105" s="1">
        <v>1009015</v>
      </c>
      <c r="E105">
        <v>170</v>
      </c>
      <c r="F105" t="s">
        <v>9</v>
      </c>
      <c r="G105" t="s">
        <v>632</v>
      </c>
      <c r="H105" t="s">
        <v>10</v>
      </c>
      <c r="J105" t="s">
        <v>276</v>
      </c>
      <c r="K105" t="str">
        <v>66.44</v>
      </c>
      <c r="L105" s="2">
        <f t="shared" si="1"/>
        <v>66.44</v>
      </c>
      <c r="AA105">
        <v>1965</v>
      </c>
      <c r="AB105">
        <f>COUNTIF($B$2:$B$251, AA105)</f>
        <v>1</v>
      </c>
    </row>
    <row r="106" spans="1:28" x14ac:dyDescent="0.35">
      <c r="A106" t="s">
        <v>277</v>
      </c>
      <c r="B106">
        <v>1944</v>
      </c>
      <c r="C106">
        <v>8.3000000000000007</v>
      </c>
      <c r="D106" s="1">
        <v>180523</v>
      </c>
      <c r="E106">
        <v>107</v>
      </c>
      <c r="F106" t="s">
        <v>22</v>
      </c>
      <c r="G106" t="s">
        <v>632</v>
      </c>
      <c r="H106" t="s">
        <v>10</v>
      </c>
      <c r="I106" t="s">
        <v>668</v>
      </c>
      <c r="J106" t="s">
        <v>117</v>
      </c>
      <c r="K106" t="str">
        <v>0.02</v>
      </c>
      <c r="L106" s="2">
        <f t="shared" si="1"/>
        <v>0.02</v>
      </c>
      <c r="AA106">
        <v>1928</v>
      </c>
      <c r="AB106">
        <f>COUNTIF($B$2:$B$251, AA106)</f>
        <v>1</v>
      </c>
    </row>
    <row r="107" spans="1:28" x14ac:dyDescent="0.35">
      <c r="A107" t="s">
        <v>279</v>
      </c>
      <c r="B107">
        <v>2009</v>
      </c>
      <c r="C107">
        <v>8.3000000000000007</v>
      </c>
      <c r="D107" s="1">
        <v>1228016</v>
      </c>
      <c r="E107">
        <v>96</v>
      </c>
      <c r="F107" t="s">
        <v>49</v>
      </c>
      <c r="G107" t="s">
        <v>636</v>
      </c>
      <c r="H107" t="s">
        <v>634</v>
      </c>
      <c r="I107" t="s">
        <v>443</v>
      </c>
      <c r="J107" t="s">
        <v>280</v>
      </c>
      <c r="K107" t="str">
        <v>735.10</v>
      </c>
      <c r="L107" s="2">
        <f t="shared" si="1"/>
        <v>735.1</v>
      </c>
      <c r="AA107">
        <v>1942</v>
      </c>
      <c r="AB107">
        <f>COUNTIF($B$2:$B$251, AA107)</f>
        <v>1</v>
      </c>
    </row>
    <row r="108" spans="1:28" x14ac:dyDescent="0.35">
      <c r="A108" t="s">
        <v>281</v>
      </c>
      <c r="B108">
        <v>1959</v>
      </c>
      <c r="C108">
        <v>8.3000000000000007</v>
      </c>
      <c r="D108" s="1">
        <v>368598</v>
      </c>
      <c r="E108">
        <v>136</v>
      </c>
      <c r="F108" t="s">
        <v>22</v>
      </c>
      <c r="G108" t="s">
        <v>634</v>
      </c>
      <c r="H108" t="s">
        <v>10</v>
      </c>
      <c r="I108" t="s">
        <v>637</v>
      </c>
      <c r="J108" t="s">
        <v>283</v>
      </c>
      <c r="K108" t="str">
        <v>0.21</v>
      </c>
      <c r="L108" s="2">
        <f t="shared" si="1"/>
        <v>0.21</v>
      </c>
      <c r="AA108">
        <v>1978</v>
      </c>
      <c r="AB108">
        <f>COUNTIF($B$2:$B$251, AA108)</f>
        <v>1</v>
      </c>
    </row>
    <row r="109" spans="1:28" x14ac:dyDescent="0.35">
      <c r="A109" t="s">
        <v>284</v>
      </c>
      <c r="B109">
        <v>2007</v>
      </c>
      <c r="C109">
        <v>8.3000000000000007</v>
      </c>
      <c r="D109" s="1">
        <v>230698</v>
      </c>
      <c r="E109">
        <v>162</v>
      </c>
      <c r="F109" t="s">
        <v>49</v>
      </c>
      <c r="G109" t="s">
        <v>10</v>
      </c>
      <c r="H109" t="s">
        <v>659</v>
      </c>
      <c r="J109" t="s">
        <v>286</v>
      </c>
      <c r="K109" t="str">
        <v>21.90</v>
      </c>
      <c r="L109" s="2">
        <f t="shared" si="1"/>
        <v>21.9</v>
      </c>
      <c r="AA109" t="s">
        <v>673</v>
      </c>
      <c r="AB109">
        <f>SUM(AB21:AB108)</f>
        <v>250</v>
      </c>
    </row>
    <row r="110" spans="1:28" x14ac:dyDescent="0.35">
      <c r="A110" t="s">
        <v>287</v>
      </c>
      <c r="B110">
        <v>1987</v>
      </c>
      <c r="C110">
        <v>8.1999999999999993</v>
      </c>
      <c r="D110" s="1">
        <v>847150</v>
      </c>
      <c r="E110">
        <v>116</v>
      </c>
      <c r="F110" t="s">
        <v>9</v>
      </c>
      <c r="G110" t="s">
        <v>10</v>
      </c>
      <c r="H110" t="s">
        <v>666</v>
      </c>
      <c r="J110" t="s">
        <v>288</v>
      </c>
      <c r="K110" t="str">
        <v>50.88</v>
      </c>
      <c r="L110" s="2">
        <f t="shared" si="1"/>
        <v>50.88</v>
      </c>
    </row>
    <row r="111" spans="1:28" x14ac:dyDescent="0.35">
      <c r="A111" t="s">
        <v>289</v>
      </c>
      <c r="B111">
        <v>1931</v>
      </c>
      <c r="C111">
        <v>8.3000000000000007</v>
      </c>
      <c r="D111" s="1">
        <v>182156</v>
      </c>
      <c r="E111">
        <v>99</v>
      </c>
      <c r="F111" t="s">
        <v>22</v>
      </c>
      <c r="G111" t="s">
        <v>632</v>
      </c>
      <c r="H111" t="s">
        <v>637</v>
      </c>
      <c r="I111" t="s">
        <v>664</v>
      </c>
      <c r="J111" t="s">
        <v>291</v>
      </c>
      <c r="K111" t="str">
        <v>0.04</v>
      </c>
      <c r="L111" s="2">
        <f t="shared" si="1"/>
        <v>0.04</v>
      </c>
    </row>
    <row r="112" spans="1:28" x14ac:dyDescent="0.35">
      <c r="A112" t="s">
        <v>292</v>
      </c>
      <c r="B112">
        <v>1941</v>
      </c>
      <c r="C112">
        <v>8.1999999999999993</v>
      </c>
      <c r="D112" s="1">
        <v>492218</v>
      </c>
      <c r="E112">
        <v>119</v>
      </c>
      <c r="F112" t="s">
        <v>49</v>
      </c>
      <c r="G112" t="s">
        <v>10</v>
      </c>
      <c r="H112" t="s">
        <v>637</v>
      </c>
      <c r="J112" t="s">
        <v>293</v>
      </c>
      <c r="K112" t="str">
        <v>1.71</v>
      </c>
      <c r="L112" s="2">
        <f t="shared" si="1"/>
        <v>1.71</v>
      </c>
    </row>
    <row r="113" spans="1:12" x14ac:dyDescent="0.35">
      <c r="A113" t="s">
        <v>294</v>
      </c>
      <c r="B113">
        <v>2002</v>
      </c>
      <c r="C113">
        <v>8.3000000000000007</v>
      </c>
      <c r="D113" s="1">
        <v>836818</v>
      </c>
      <c r="E113">
        <v>122</v>
      </c>
      <c r="F113" t="s">
        <v>9</v>
      </c>
      <c r="G113" t="s">
        <v>443</v>
      </c>
      <c r="H113" t="s">
        <v>663</v>
      </c>
      <c r="J113" t="s">
        <v>296</v>
      </c>
      <c r="K113" t="str">
        <v>175.42</v>
      </c>
      <c r="L113" s="2">
        <f t="shared" si="1"/>
        <v>175.42</v>
      </c>
    </row>
    <row r="114" spans="1:12" x14ac:dyDescent="0.35">
      <c r="A114" t="s">
        <v>297</v>
      </c>
      <c r="B114">
        <v>1958</v>
      </c>
      <c r="C114">
        <v>8.1999999999999993</v>
      </c>
      <c r="D114" s="1">
        <v>457682</v>
      </c>
      <c r="E114">
        <v>128</v>
      </c>
      <c r="F114" t="s">
        <v>49</v>
      </c>
      <c r="G114" t="s">
        <v>637</v>
      </c>
      <c r="H114" t="s">
        <v>663</v>
      </c>
      <c r="I114" t="s">
        <v>664</v>
      </c>
      <c r="J114" t="s">
        <v>299</v>
      </c>
      <c r="K114" t="str">
        <v>7.99</v>
      </c>
      <c r="L114" s="2">
        <f t="shared" si="1"/>
        <v>7.99</v>
      </c>
    </row>
    <row r="115" spans="1:12" x14ac:dyDescent="0.35">
      <c r="A115" t="s">
        <v>300</v>
      </c>
      <c r="B115">
        <v>2011</v>
      </c>
      <c r="C115">
        <v>8.3000000000000007</v>
      </c>
      <c r="D115" s="1">
        <v>276702</v>
      </c>
      <c r="E115">
        <v>123</v>
      </c>
      <c r="F115" t="s">
        <v>16</v>
      </c>
      <c r="G115" t="s">
        <v>10</v>
      </c>
      <c r="J115" t="s">
        <v>301</v>
      </c>
      <c r="K115" t="str">
        <v>22.93</v>
      </c>
      <c r="L115" s="2">
        <f t="shared" si="1"/>
        <v>22.93</v>
      </c>
    </row>
    <row r="116" spans="1:12" x14ac:dyDescent="0.35">
      <c r="A116" t="s">
        <v>302</v>
      </c>
      <c r="B116">
        <v>1988</v>
      </c>
      <c r="C116">
        <v>8.1999999999999993</v>
      </c>
      <c r="D116" s="1">
        <v>1025552</v>
      </c>
      <c r="E116">
        <v>132</v>
      </c>
      <c r="F116" t="s">
        <v>9</v>
      </c>
      <c r="G116" t="s">
        <v>633</v>
      </c>
      <c r="H116" t="s">
        <v>664</v>
      </c>
      <c r="J116" t="s">
        <v>304</v>
      </c>
      <c r="K116" t="str">
        <v>143.65</v>
      </c>
      <c r="L116" s="2">
        <f t="shared" si="1"/>
        <v>143.65</v>
      </c>
    </row>
    <row r="117" spans="1:12" x14ac:dyDescent="0.35">
      <c r="A117" t="s">
        <v>305</v>
      </c>
      <c r="B117">
        <v>1963</v>
      </c>
      <c r="C117">
        <v>8.1999999999999993</v>
      </c>
      <c r="D117" s="1">
        <v>350648</v>
      </c>
      <c r="E117">
        <v>129</v>
      </c>
      <c r="F117" t="s">
        <v>22</v>
      </c>
      <c r="G117" t="s">
        <v>632</v>
      </c>
      <c r="H117" t="s">
        <v>10</v>
      </c>
      <c r="J117" t="s">
        <v>306</v>
      </c>
      <c r="K117" t="str">
        <v>0.61</v>
      </c>
      <c r="L117" s="2">
        <f t="shared" si="1"/>
        <v>0.61</v>
      </c>
    </row>
    <row r="118" spans="1:12" x14ac:dyDescent="0.35">
      <c r="A118" t="s">
        <v>307</v>
      </c>
      <c r="B118">
        <v>1989</v>
      </c>
      <c r="C118">
        <v>8.1999999999999993</v>
      </c>
      <c r="D118" s="1">
        <v>860418</v>
      </c>
      <c r="E118">
        <v>127</v>
      </c>
      <c r="F118" t="s">
        <v>16</v>
      </c>
      <c r="G118" t="s">
        <v>633</v>
      </c>
      <c r="H118" t="s">
        <v>634</v>
      </c>
      <c r="J118" t="s">
        <v>308</v>
      </c>
      <c r="K118" t="str">
        <v>474.17</v>
      </c>
      <c r="L118" s="2">
        <f t="shared" si="1"/>
        <v>474.17</v>
      </c>
    </row>
    <row r="119" spans="1:12" x14ac:dyDescent="0.35">
      <c r="A119" t="s">
        <v>309</v>
      </c>
      <c r="B119">
        <v>1973</v>
      </c>
      <c r="C119">
        <v>8.1999999999999993</v>
      </c>
      <c r="D119" s="1">
        <v>299171</v>
      </c>
      <c r="E119">
        <v>129</v>
      </c>
      <c r="F119" t="s">
        <v>49</v>
      </c>
      <c r="G119" t="s">
        <v>443</v>
      </c>
      <c r="H119" t="s">
        <v>632</v>
      </c>
      <c r="I119" t="s">
        <v>10</v>
      </c>
      <c r="J119" t="s">
        <v>311</v>
      </c>
      <c r="K119" t="str">
        <v>156.01</v>
      </c>
      <c r="L119" s="2">
        <f t="shared" si="1"/>
        <v>156.01</v>
      </c>
    </row>
    <row r="120" spans="1:12" x14ac:dyDescent="0.35">
      <c r="A120" t="s">
        <v>312</v>
      </c>
      <c r="B120">
        <v>1972</v>
      </c>
      <c r="C120">
        <v>8.1999999999999993</v>
      </c>
      <c r="D120" s="1">
        <v>933374</v>
      </c>
      <c r="E120">
        <v>136</v>
      </c>
      <c r="F120" t="s">
        <v>9</v>
      </c>
      <c r="G120" t="s">
        <v>632</v>
      </c>
      <c r="H120" t="s">
        <v>665</v>
      </c>
      <c r="J120" t="s">
        <v>314</v>
      </c>
      <c r="K120" t="str">
        <v>27.17</v>
      </c>
      <c r="L120" s="2">
        <f t="shared" si="1"/>
        <v>27.17</v>
      </c>
    </row>
    <row r="121" spans="1:12" x14ac:dyDescent="0.35">
      <c r="A121" t="s">
        <v>315</v>
      </c>
      <c r="B121">
        <v>1927</v>
      </c>
      <c r="C121">
        <v>8.1999999999999993</v>
      </c>
      <c r="D121" s="1">
        <v>200324</v>
      </c>
      <c r="E121">
        <v>153</v>
      </c>
      <c r="F121" t="s">
        <v>22</v>
      </c>
      <c r="G121" t="s">
        <v>10</v>
      </c>
      <c r="H121" t="s">
        <v>665</v>
      </c>
      <c r="J121" t="s">
        <v>317</v>
      </c>
      <c r="K121" t="str">
        <v>1.35</v>
      </c>
      <c r="L121" s="2">
        <f t="shared" si="1"/>
        <v>1.35</v>
      </c>
    </row>
    <row r="122" spans="1:12" x14ac:dyDescent="0.35">
      <c r="A122">
        <v>1917</v>
      </c>
      <c r="B122">
        <v>2020</v>
      </c>
      <c r="C122">
        <v>8.1999999999999993</v>
      </c>
      <c r="D122" s="1">
        <v>765271</v>
      </c>
      <c r="E122">
        <v>119</v>
      </c>
      <c r="F122" t="s">
        <v>9</v>
      </c>
      <c r="G122" t="s">
        <v>633</v>
      </c>
      <c r="H122" t="s">
        <v>10</v>
      </c>
      <c r="I122" t="s">
        <v>666</v>
      </c>
      <c r="J122" t="s">
        <v>319</v>
      </c>
      <c r="K122" t="str">
        <v>446.06</v>
      </c>
      <c r="L122" s="2">
        <f t="shared" si="1"/>
        <v>446.06</v>
      </c>
    </row>
    <row r="123" spans="1:12" x14ac:dyDescent="0.35">
      <c r="A123" t="s">
        <v>320</v>
      </c>
      <c r="B123">
        <v>2001</v>
      </c>
      <c r="C123">
        <v>8.1999999999999993</v>
      </c>
      <c r="D123" s="1">
        <v>972794</v>
      </c>
      <c r="E123">
        <v>102</v>
      </c>
      <c r="F123" t="s">
        <v>9</v>
      </c>
      <c r="G123" t="s">
        <v>443</v>
      </c>
      <c r="H123" t="s">
        <v>632</v>
      </c>
      <c r="J123" t="s">
        <v>322</v>
      </c>
      <c r="K123" t="str">
        <v>83.56</v>
      </c>
      <c r="L123" s="2">
        <f t="shared" si="1"/>
        <v>83.56</v>
      </c>
    </row>
    <row r="124" spans="1:12" x14ac:dyDescent="0.35">
      <c r="A124" t="s">
        <v>323</v>
      </c>
      <c r="B124">
        <v>1997</v>
      </c>
      <c r="C124">
        <v>8.1999999999999993</v>
      </c>
      <c r="D124" s="1">
        <v>656577</v>
      </c>
      <c r="E124">
        <v>138</v>
      </c>
      <c r="F124" t="s">
        <v>9</v>
      </c>
      <c r="G124" t="s">
        <v>632</v>
      </c>
      <c r="H124" t="s">
        <v>10</v>
      </c>
      <c r="I124" t="s">
        <v>637</v>
      </c>
      <c r="J124" t="s">
        <v>324</v>
      </c>
      <c r="K124" t="str">
        <v>126.22</v>
      </c>
      <c r="L124" s="2">
        <f t="shared" si="1"/>
        <v>126.22</v>
      </c>
    </row>
    <row r="125" spans="1:12" x14ac:dyDescent="0.35">
      <c r="A125" t="s">
        <v>325</v>
      </c>
      <c r="B125">
        <v>2005</v>
      </c>
      <c r="C125">
        <v>8.1999999999999993</v>
      </c>
      <c r="D125" s="1">
        <v>398908</v>
      </c>
      <c r="E125">
        <v>156</v>
      </c>
      <c r="F125" t="s">
        <v>9</v>
      </c>
      <c r="G125" t="s">
        <v>635</v>
      </c>
      <c r="H125" t="s">
        <v>10</v>
      </c>
      <c r="I125" t="s">
        <v>661</v>
      </c>
      <c r="J125" t="s">
        <v>326</v>
      </c>
      <c r="K125" t="str">
        <v>92.18</v>
      </c>
      <c r="L125" s="2">
        <f t="shared" si="1"/>
        <v>92.18</v>
      </c>
    </row>
    <row r="126" spans="1:12" x14ac:dyDescent="0.35">
      <c r="A126" t="s">
        <v>327</v>
      </c>
      <c r="B126">
        <v>2013</v>
      </c>
      <c r="C126">
        <v>8.1999999999999993</v>
      </c>
      <c r="D126" s="1">
        <v>1772350</v>
      </c>
      <c r="E126">
        <v>180</v>
      </c>
      <c r="F126" t="s">
        <v>9</v>
      </c>
      <c r="G126" t="s">
        <v>635</v>
      </c>
      <c r="H126" t="s">
        <v>443</v>
      </c>
      <c r="I126" t="s">
        <v>632</v>
      </c>
      <c r="J126" t="s">
        <v>329</v>
      </c>
      <c r="K126" t="str">
        <v>407.04</v>
      </c>
      <c r="L126" s="2">
        <f t="shared" si="1"/>
        <v>407.04</v>
      </c>
    </row>
    <row r="127" spans="1:12" x14ac:dyDescent="0.35">
      <c r="A127" t="s">
        <v>330</v>
      </c>
      <c r="B127">
        <v>2016</v>
      </c>
      <c r="C127">
        <v>8.3000000000000007</v>
      </c>
      <c r="D127" s="1">
        <v>240747</v>
      </c>
      <c r="E127">
        <v>161</v>
      </c>
      <c r="F127" t="s">
        <v>22</v>
      </c>
      <c r="G127" t="s">
        <v>633</v>
      </c>
      <c r="H127" t="s">
        <v>635</v>
      </c>
      <c r="I127" t="s">
        <v>10</v>
      </c>
      <c r="J127" t="s">
        <v>332</v>
      </c>
      <c r="K127" t="str">
        <v>303.73</v>
      </c>
      <c r="L127" s="2">
        <f t="shared" si="1"/>
        <v>303.73</v>
      </c>
    </row>
    <row r="128" spans="1:12" x14ac:dyDescent="0.35">
      <c r="A128" t="s">
        <v>333</v>
      </c>
      <c r="B128">
        <v>1998</v>
      </c>
      <c r="C128">
        <v>8.1999999999999993</v>
      </c>
      <c r="D128" s="1">
        <v>1360444</v>
      </c>
      <c r="E128">
        <v>103</v>
      </c>
      <c r="F128" t="s">
        <v>49</v>
      </c>
      <c r="G128" t="s">
        <v>443</v>
      </c>
      <c r="H128" t="s">
        <v>10</v>
      </c>
      <c r="J128" t="s">
        <v>334</v>
      </c>
      <c r="K128" t="str">
        <v>264.12</v>
      </c>
      <c r="L128" s="2">
        <f t="shared" si="1"/>
        <v>264.12</v>
      </c>
    </row>
    <row r="129" spans="1:12" x14ac:dyDescent="0.35">
      <c r="A129" t="s">
        <v>335</v>
      </c>
      <c r="B129">
        <v>1949</v>
      </c>
      <c r="C129">
        <v>8.1999999999999993</v>
      </c>
      <c r="D129" s="1">
        <v>191919</v>
      </c>
      <c r="E129">
        <v>89</v>
      </c>
      <c r="F129" t="s">
        <v>22</v>
      </c>
      <c r="G129" t="s">
        <v>10</v>
      </c>
      <c r="J129" t="s">
        <v>336</v>
      </c>
      <c r="K129" t="str">
        <v>0.46</v>
      </c>
      <c r="L129" s="2">
        <f t="shared" si="1"/>
        <v>0.46</v>
      </c>
    </row>
    <row r="130" spans="1:12" x14ac:dyDescent="0.35">
      <c r="A130" t="s">
        <v>337</v>
      </c>
      <c r="B130">
        <v>2023</v>
      </c>
      <c r="C130">
        <v>8.1999999999999993</v>
      </c>
      <c r="D130" s="1">
        <v>1011743</v>
      </c>
      <c r="E130">
        <v>180</v>
      </c>
      <c r="F130" t="s">
        <v>9</v>
      </c>
      <c r="G130" t="s">
        <v>635</v>
      </c>
      <c r="H130" t="s">
        <v>10</v>
      </c>
      <c r="I130" t="s">
        <v>661</v>
      </c>
      <c r="J130" t="s">
        <v>338</v>
      </c>
      <c r="K130" t="str">
        <v>975.81</v>
      </c>
      <c r="L130" s="2">
        <f t="shared" si="1"/>
        <v>975.81</v>
      </c>
    </row>
    <row r="131" spans="1:12" x14ac:dyDescent="0.35">
      <c r="A131" t="s">
        <v>339</v>
      </c>
      <c r="B131">
        <v>2018</v>
      </c>
      <c r="C131">
        <v>8.1999999999999993</v>
      </c>
      <c r="D131" s="1">
        <v>677929</v>
      </c>
      <c r="E131">
        <v>130</v>
      </c>
      <c r="F131" t="s">
        <v>16</v>
      </c>
      <c r="G131" t="s">
        <v>635</v>
      </c>
      <c r="H131" t="s">
        <v>443</v>
      </c>
      <c r="I131" t="s">
        <v>10</v>
      </c>
      <c r="J131" t="s">
        <v>341</v>
      </c>
      <c r="K131" t="str">
        <v>321.75</v>
      </c>
      <c r="L131" s="2">
        <f t="shared" ref="L131:L194" si="2">VALUE(K131)</f>
        <v>321.75</v>
      </c>
    </row>
    <row r="132" spans="1:12" x14ac:dyDescent="0.35">
      <c r="A132" t="s">
        <v>342</v>
      </c>
      <c r="B132">
        <v>2010</v>
      </c>
      <c r="C132">
        <v>8.1999999999999993</v>
      </c>
      <c r="D132" s="1">
        <v>1631737</v>
      </c>
      <c r="E132">
        <v>138</v>
      </c>
      <c r="F132" t="s">
        <v>9</v>
      </c>
      <c r="G132" t="s">
        <v>10</v>
      </c>
      <c r="H132" t="s">
        <v>637</v>
      </c>
      <c r="I132" t="s">
        <v>664</v>
      </c>
      <c r="J132" t="s">
        <v>343</v>
      </c>
      <c r="K132" t="str">
        <v>294.98</v>
      </c>
      <c r="L132" s="2">
        <f t="shared" si="2"/>
        <v>294.98</v>
      </c>
    </row>
    <row r="133" spans="1:12" x14ac:dyDescent="0.35">
      <c r="A133" t="s">
        <v>344</v>
      </c>
      <c r="B133">
        <v>1961</v>
      </c>
      <c r="C133">
        <v>8.3000000000000007</v>
      </c>
      <c r="D133" s="1">
        <v>96461</v>
      </c>
      <c r="E133">
        <v>179</v>
      </c>
      <c r="F133" t="s">
        <v>22</v>
      </c>
      <c r="G133" t="s">
        <v>10</v>
      </c>
      <c r="H133" t="s">
        <v>661</v>
      </c>
      <c r="I133" t="s">
        <v>666</v>
      </c>
      <c r="J133" t="s">
        <v>23</v>
      </c>
      <c r="K133" t="str">
        <v>0.01</v>
      </c>
      <c r="L133" s="2">
        <f t="shared" si="2"/>
        <v>0.01</v>
      </c>
    </row>
    <row r="134" spans="1:12" x14ac:dyDescent="0.35">
      <c r="A134" t="s">
        <v>346</v>
      </c>
      <c r="B134">
        <v>2005</v>
      </c>
      <c r="C134">
        <v>8.1999999999999993</v>
      </c>
      <c r="D134" s="1">
        <v>1703662</v>
      </c>
      <c r="E134">
        <v>140</v>
      </c>
      <c r="F134" t="s">
        <v>16</v>
      </c>
      <c r="G134" t="s">
        <v>633</v>
      </c>
      <c r="H134" t="s">
        <v>632</v>
      </c>
      <c r="I134" t="s">
        <v>10</v>
      </c>
      <c r="J134" t="s">
        <v>347</v>
      </c>
      <c r="K134" t="str">
        <v>375.58</v>
      </c>
      <c r="L134" s="2">
        <f t="shared" si="2"/>
        <v>375.58</v>
      </c>
    </row>
    <row r="135" spans="1:12" x14ac:dyDescent="0.35">
      <c r="A135" t="s">
        <v>348</v>
      </c>
      <c r="B135">
        <v>2020</v>
      </c>
      <c r="C135">
        <v>8.3000000000000007</v>
      </c>
      <c r="D135" s="1">
        <v>137958</v>
      </c>
      <c r="E135">
        <v>160</v>
      </c>
      <c r="F135" t="s">
        <v>16</v>
      </c>
      <c r="G135" t="s">
        <v>635</v>
      </c>
      <c r="H135" t="s">
        <v>10</v>
      </c>
      <c r="I135" t="s">
        <v>661</v>
      </c>
      <c r="J135" t="s">
        <v>349</v>
      </c>
      <c r="K135" t="str">
        <v>20.94</v>
      </c>
      <c r="L135" s="2">
        <f t="shared" si="2"/>
        <v>20.94</v>
      </c>
    </row>
    <row r="136" spans="1:12" x14ac:dyDescent="0.35">
      <c r="A136" t="s">
        <v>350</v>
      </c>
      <c r="B136">
        <v>1967</v>
      </c>
      <c r="C136">
        <v>8.1999999999999993</v>
      </c>
      <c r="D136" s="1">
        <v>298846</v>
      </c>
      <c r="E136">
        <v>132</v>
      </c>
      <c r="F136" t="s">
        <v>9</v>
      </c>
      <c r="G136" t="s">
        <v>10</v>
      </c>
      <c r="H136" t="s">
        <v>662</v>
      </c>
      <c r="J136" t="s">
        <v>351</v>
      </c>
      <c r="K136" t="str">
        <v>15.00</v>
      </c>
      <c r="L136" s="2">
        <f t="shared" si="2"/>
        <v>15</v>
      </c>
    </row>
    <row r="137" spans="1:12" x14ac:dyDescent="0.35">
      <c r="A137" t="s">
        <v>352</v>
      </c>
      <c r="B137">
        <v>1976</v>
      </c>
      <c r="C137">
        <v>8.1999999999999993</v>
      </c>
      <c r="D137" s="1">
        <v>1020084</v>
      </c>
      <c r="E137">
        <v>114</v>
      </c>
      <c r="F137" t="s">
        <v>9</v>
      </c>
      <c r="G137" t="s">
        <v>632</v>
      </c>
      <c r="H137" t="s">
        <v>10</v>
      </c>
      <c r="J137" t="s">
        <v>353</v>
      </c>
      <c r="K137" t="str">
        <v>28.98</v>
      </c>
      <c r="L137" s="2">
        <f t="shared" si="2"/>
        <v>28.98</v>
      </c>
    </row>
    <row r="138" spans="1:12" x14ac:dyDescent="0.35">
      <c r="A138" t="s">
        <v>354</v>
      </c>
      <c r="B138">
        <v>1993</v>
      </c>
      <c r="C138">
        <v>8.1999999999999993</v>
      </c>
      <c r="D138" s="1">
        <v>1169814</v>
      </c>
      <c r="E138">
        <v>127</v>
      </c>
      <c r="F138" t="s">
        <v>16</v>
      </c>
      <c r="G138" t="s">
        <v>633</v>
      </c>
      <c r="H138" t="s">
        <v>634</v>
      </c>
      <c r="I138" t="s">
        <v>665</v>
      </c>
      <c r="J138" t="s">
        <v>355</v>
      </c>
      <c r="K138" t="str">
        <v>1103.11</v>
      </c>
      <c r="L138" s="2">
        <f t="shared" si="2"/>
        <v>1103.1099999999999</v>
      </c>
    </row>
    <row r="139" spans="1:12" x14ac:dyDescent="0.35">
      <c r="A139" t="s">
        <v>356</v>
      </c>
      <c r="B139">
        <v>1959</v>
      </c>
      <c r="C139">
        <v>8.1999999999999993</v>
      </c>
      <c r="D139" s="1">
        <v>303664</v>
      </c>
      <c r="E139">
        <v>121</v>
      </c>
      <c r="F139" t="s">
        <v>22</v>
      </c>
      <c r="G139" t="s">
        <v>443</v>
      </c>
      <c r="H139" t="s">
        <v>667</v>
      </c>
      <c r="I139" t="s">
        <v>663</v>
      </c>
      <c r="J139" t="s">
        <v>283</v>
      </c>
      <c r="K139" t="str">
        <v>0.21</v>
      </c>
      <c r="L139" s="2">
        <f t="shared" si="2"/>
        <v>0.21</v>
      </c>
    </row>
    <row r="140" spans="1:12" x14ac:dyDescent="0.35">
      <c r="A140" t="s">
        <v>358</v>
      </c>
      <c r="B140">
        <v>2008</v>
      </c>
      <c r="C140">
        <v>8.1999999999999993</v>
      </c>
      <c r="D140" s="1">
        <v>703624</v>
      </c>
      <c r="E140">
        <v>158</v>
      </c>
      <c r="F140" t="s">
        <v>9</v>
      </c>
      <c r="G140" t="s">
        <v>10</v>
      </c>
      <c r="J140" t="s">
        <v>359</v>
      </c>
      <c r="K140" t="str">
        <v>76.43</v>
      </c>
      <c r="L140" s="2">
        <f t="shared" si="2"/>
        <v>76.430000000000007</v>
      </c>
    </row>
    <row r="141" spans="1:12" x14ac:dyDescent="0.35">
      <c r="A141" t="s">
        <v>360</v>
      </c>
      <c r="B141">
        <v>1921</v>
      </c>
      <c r="C141">
        <v>8.1999999999999993</v>
      </c>
      <c r="D141" s="1">
        <v>145076</v>
      </c>
      <c r="E141">
        <v>68</v>
      </c>
      <c r="F141" t="s">
        <v>22</v>
      </c>
      <c r="G141" t="s">
        <v>443</v>
      </c>
      <c r="H141" t="s">
        <v>10</v>
      </c>
      <c r="I141" t="s">
        <v>659</v>
      </c>
      <c r="J141" t="s">
        <v>362</v>
      </c>
      <c r="K141" t="str">
        <v>0.05</v>
      </c>
      <c r="L141" s="2">
        <f t="shared" si="2"/>
        <v>0.05</v>
      </c>
    </row>
    <row r="142" spans="1:12" x14ac:dyDescent="0.35">
      <c r="A142" t="s">
        <v>363</v>
      </c>
      <c r="B142">
        <v>2021</v>
      </c>
      <c r="C142">
        <v>8.1999999999999993</v>
      </c>
      <c r="D142" s="1">
        <v>242331</v>
      </c>
      <c r="E142">
        <v>97</v>
      </c>
      <c r="F142" t="s">
        <v>16</v>
      </c>
      <c r="G142" t="s">
        <v>10</v>
      </c>
      <c r="H142" t="s">
        <v>637</v>
      </c>
      <c r="J142" t="s">
        <v>364</v>
      </c>
      <c r="K142" t="str">
        <v>24.05</v>
      </c>
      <c r="L142" s="2">
        <f t="shared" si="2"/>
        <v>24.05</v>
      </c>
    </row>
    <row r="143" spans="1:12" x14ac:dyDescent="0.35">
      <c r="A143" t="s">
        <v>365</v>
      </c>
      <c r="B143">
        <v>1950</v>
      </c>
      <c r="C143">
        <v>8.1999999999999993</v>
      </c>
      <c r="D143" s="1">
        <v>148633</v>
      </c>
      <c r="E143">
        <v>138</v>
      </c>
      <c r="F143" t="s">
        <v>22</v>
      </c>
      <c r="G143" t="s">
        <v>10</v>
      </c>
      <c r="J143" t="s">
        <v>366</v>
      </c>
      <c r="K143" t="str">
        <v>0.16</v>
      </c>
      <c r="L143" s="2">
        <f t="shared" si="2"/>
        <v>0.16</v>
      </c>
    </row>
    <row r="144" spans="1:12" x14ac:dyDescent="0.35">
      <c r="A144" t="s">
        <v>367</v>
      </c>
      <c r="B144">
        <v>1999</v>
      </c>
      <c r="C144">
        <v>8.1999999999999993</v>
      </c>
      <c r="D144" s="1">
        <v>1138184</v>
      </c>
      <c r="E144">
        <v>107</v>
      </c>
      <c r="F144" t="s">
        <v>16</v>
      </c>
      <c r="G144" t="s">
        <v>10</v>
      </c>
      <c r="H144" t="s">
        <v>637</v>
      </c>
      <c r="I144" t="s">
        <v>664</v>
      </c>
      <c r="J144" t="s">
        <v>368</v>
      </c>
      <c r="K144" t="str">
        <v>672.81</v>
      </c>
      <c r="L144" s="2">
        <f t="shared" si="2"/>
        <v>672.81</v>
      </c>
    </row>
    <row r="145" spans="1:12" x14ac:dyDescent="0.35">
      <c r="A145" t="s">
        <v>369</v>
      </c>
      <c r="B145">
        <v>1985</v>
      </c>
      <c r="C145">
        <v>8.1999999999999993</v>
      </c>
      <c r="D145" s="1">
        <v>150999</v>
      </c>
      <c r="E145">
        <v>160</v>
      </c>
      <c r="F145" t="s">
        <v>9</v>
      </c>
      <c r="G145" t="s">
        <v>633</v>
      </c>
      <c r="H145" t="s">
        <v>10</v>
      </c>
      <c r="I145" t="s">
        <v>666</v>
      </c>
      <c r="J145" t="s">
        <v>370</v>
      </c>
      <c r="K145" t="str">
        <v>4.42</v>
      </c>
      <c r="L145" s="2">
        <f t="shared" si="2"/>
        <v>4.42</v>
      </c>
    </row>
    <row r="146" spans="1:12" x14ac:dyDescent="0.35">
      <c r="A146" t="s">
        <v>371</v>
      </c>
      <c r="B146">
        <v>1995</v>
      </c>
      <c r="C146">
        <v>8.1999999999999993</v>
      </c>
      <c r="D146" s="1">
        <v>615465</v>
      </c>
      <c r="E146">
        <v>178</v>
      </c>
      <c r="F146" t="s">
        <v>9</v>
      </c>
      <c r="G146" t="s">
        <v>632</v>
      </c>
      <c r="H146" t="s">
        <v>10</v>
      </c>
      <c r="J146" t="s">
        <v>372</v>
      </c>
      <c r="K146" t="str">
        <v>116.11</v>
      </c>
      <c r="L146" s="2">
        <f t="shared" si="2"/>
        <v>116.11</v>
      </c>
    </row>
    <row r="147" spans="1:12" x14ac:dyDescent="0.35">
      <c r="A147" t="s">
        <v>373</v>
      </c>
      <c r="B147">
        <v>2007</v>
      </c>
      <c r="C147">
        <v>8.1999999999999993</v>
      </c>
      <c r="D147" s="1">
        <v>1179896</v>
      </c>
      <c r="E147">
        <v>122</v>
      </c>
      <c r="F147" t="s">
        <v>9</v>
      </c>
      <c r="G147" t="s">
        <v>632</v>
      </c>
      <c r="H147" t="s">
        <v>10</v>
      </c>
      <c r="I147" t="s">
        <v>664</v>
      </c>
      <c r="J147" t="s">
        <v>374</v>
      </c>
      <c r="K147" t="str">
        <v>171.64</v>
      </c>
      <c r="L147" s="2">
        <f t="shared" si="2"/>
        <v>171.64</v>
      </c>
    </row>
    <row r="148" spans="1:12" x14ac:dyDescent="0.35">
      <c r="A148" t="s">
        <v>375</v>
      </c>
      <c r="B148">
        <v>1982</v>
      </c>
      <c r="C148">
        <v>8.1999999999999993</v>
      </c>
      <c r="D148" s="1">
        <v>522863</v>
      </c>
      <c r="E148">
        <v>109</v>
      </c>
      <c r="F148" t="s">
        <v>9</v>
      </c>
      <c r="G148" t="s">
        <v>569</v>
      </c>
      <c r="H148" t="s">
        <v>637</v>
      </c>
      <c r="I148" t="s">
        <v>665</v>
      </c>
      <c r="J148" t="s">
        <v>377</v>
      </c>
      <c r="K148" t="str">
        <v>20.87</v>
      </c>
      <c r="L148" s="2">
        <f t="shared" si="2"/>
        <v>20.87</v>
      </c>
    </row>
    <row r="149" spans="1:12" x14ac:dyDescent="0.35">
      <c r="A149" t="s">
        <v>378</v>
      </c>
      <c r="B149">
        <v>2022</v>
      </c>
      <c r="C149">
        <v>8.1999999999999993</v>
      </c>
      <c r="D149" s="1">
        <v>849682</v>
      </c>
      <c r="E149">
        <v>130</v>
      </c>
      <c r="F149" t="s">
        <v>16</v>
      </c>
      <c r="G149" t="s">
        <v>633</v>
      </c>
      <c r="H149" t="s">
        <v>10</v>
      </c>
      <c r="J149" t="s">
        <v>379</v>
      </c>
      <c r="K149" t="str">
        <v>1495.70</v>
      </c>
      <c r="L149" s="2">
        <f t="shared" si="2"/>
        <v>1495.7</v>
      </c>
    </row>
    <row r="150" spans="1:12" x14ac:dyDescent="0.35">
      <c r="A150" t="s">
        <v>380</v>
      </c>
      <c r="B150">
        <v>2013</v>
      </c>
      <c r="C150">
        <v>8.1999999999999993</v>
      </c>
      <c r="D150" s="1">
        <v>925536</v>
      </c>
      <c r="E150">
        <v>153</v>
      </c>
      <c r="F150" t="s">
        <v>9</v>
      </c>
      <c r="G150" t="s">
        <v>632</v>
      </c>
      <c r="H150" t="s">
        <v>10</v>
      </c>
      <c r="I150" t="s">
        <v>637</v>
      </c>
      <c r="J150" t="s">
        <v>381</v>
      </c>
      <c r="K150" t="str">
        <v>122.13</v>
      </c>
      <c r="L150" s="2">
        <f t="shared" si="2"/>
        <v>122.13</v>
      </c>
    </row>
    <row r="151" spans="1:12" x14ac:dyDescent="0.35">
      <c r="A151" t="s">
        <v>382</v>
      </c>
      <c r="B151">
        <v>2003</v>
      </c>
      <c r="C151">
        <v>8.1999999999999993</v>
      </c>
      <c r="D151" s="1">
        <v>1299105</v>
      </c>
      <c r="E151">
        <v>111</v>
      </c>
      <c r="F151" t="s">
        <v>9</v>
      </c>
      <c r="G151" t="s">
        <v>633</v>
      </c>
      <c r="H151" t="s">
        <v>632</v>
      </c>
      <c r="I151" t="s">
        <v>664</v>
      </c>
      <c r="J151" t="s">
        <v>383</v>
      </c>
      <c r="K151" t="str">
        <v>180.91</v>
      </c>
      <c r="L151" s="2">
        <f t="shared" si="2"/>
        <v>180.91</v>
      </c>
    </row>
    <row r="152" spans="1:12" x14ac:dyDescent="0.35">
      <c r="A152" t="s">
        <v>384</v>
      </c>
      <c r="B152">
        <v>2007</v>
      </c>
      <c r="C152">
        <v>8.1999999999999993</v>
      </c>
      <c r="D152" s="1">
        <v>744307</v>
      </c>
      <c r="E152">
        <v>118</v>
      </c>
      <c r="F152" t="s">
        <v>9</v>
      </c>
      <c r="G152" t="s">
        <v>10</v>
      </c>
      <c r="H152" t="s">
        <v>660</v>
      </c>
      <c r="I152" t="s">
        <v>666</v>
      </c>
      <c r="J152" t="s">
        <v>386</v>
      </c>
      <c r="K152" t="str">
        <v>83.86</v>
      </c>
      <c r="L152" s="2">
        <f t="shared" si="2"/>
        <v>83.86</v>
      </c>
    </row>
    <row r="153" spans="1:12" x14ac:dyDescent="0.35">
      <c r="A153" t="s">
        <v>387</v>
      </c>
      <c r="B153">
        <v>1992</v>
      </c>
      <c r="C153">
        <v>8.1999999999999993</v>
      </c>
      <c r="D153" s="1">
        <v>466753</v>
      </c>
      <c r="E153">
        <v>130</v>
      </c>
      <c r="F153" t="s">
        <v>9</v>
      </c>
      <c r="G153" t="s">
        <v>10</v>
      </c>
      <c r="H153" t="s">
        <v>662</v>
      </c>
      <c r="J153" t="s">
        <v>388</v>
      </c>
      <c r="K153" t="str">
        <v>159.17</v>
      </c>
      <c r="L153" s="2">
        <f t="shared" si="2"/>
        <v>159.16999999999999</v>
      </c>
    </row>
    <row r="154" spans="1:12" x14ac:dyDescent="0.35">
      <c r="A154" t="s">
        <v>389</v>
      </c>
      <c r="B154">
        <v>2002</v>
      </c>
      <c r="C154">
        <v>8.1999999999999993</v>
      </c>
      <c r="D154" s="1">
        <v>1049366</v>
      </c>
      <c r="E154">
        <v>135</v>
      </c>
      <c r="F154" t="s">
        <v>16</v>
      </c>
      <c r="G154" t="s">
        <v>635</v>
      </c>
      <c r="H154" t="s">
        <v>10</v>
      </c>
      <c r="I154" t="s">
        <v>637</v>
      </c>
      <c r="J154" t="s">
        <v>391</v>
      </c>
      <c r="K154" t="str">
        <v>316.79</v>
      </c>
      <c r="L154" s="2">
        <f t="shared" si="2"/>
        <v>316.79000000000002</v>
      </c>
    </row>
    <row r="155" spans="1:12" x14ac:dyDescent="0.35">
      <c r="A155" t="s">
        <v>392</v>
      </c>
      <c r="B155">
        <v>1948</v>
      </c>
      <c r="C155">
        <v>8.1999999999999993</v>
      </c>
      <c r="D155" s="1">
        <v>140941</v>
      </c>
      <c r="E155">
        <v>126</v>
      </c>
      <c r="F155" t="s">
        <v>22</v>
      </c>
      <c r="G155" t="s">
        <v>634</v>
      </c>
      <c r="H155" t="s">
        <v>10</v>
      </c>
      <c r="I155" t="s">
        <v>662</v>
      </c>
      <c r="J155" t="s">
        <v>393</v>
      </c>
      <c r="K155" t="str">
        <v>5.01</v>
      </c>
      <c r="L155" s="2">
        <f t="shared" si="2"/>
        <v>5.01</v>
      </c>
    </row>
    <row r="156" spans="1:12" x14ac:dyDescent="0.35">
      <c r="A156" t="s">
        <v>394</v>
      </c>
      <c r="B156">
        <v>2005</v>
      </c>
      <c r="C156">
        <v>8.1999999999999993</v>
      </c>
      <c r="D156" s="1">
        <v>508081</v>
      </c>
      <c r="E156">
        <v>119</v>
      </c>
      <c r="F156" t="s">
        <v>49</v>
      </c>
      <c r="G156" t="s">
        <v>636</v>
      </c>
      <c r="H156" t="s">
        <v>634</v>
      </c>
      <c r="I156" t="s">
        <v>659</v>
      </c>
      <c r="J156" t="s">
        <v>395</v>
      </c>
      <c r="K156" t="str">
        <v>243.39</v>
      </c>
      <c r="L156" s="2">
        <f t="shared" si="2"/>
        <v>243.39</v>
      </c>
    </row>
    <row r="157" spans="1:12" x14ac:dyDescent="0.35">
      <c r="A157" t="s">
        <v>396</v>
      </c>
      <c r="B157">
        <v>2003</v>
      </c>
      <c r="C157">
        <v>8.1999999999999993</v>
      </c>
      <c r="D157" s="1">
        <v>1200849</v>
      </c>
      <c r="E157">
        <v>100</v>
      </c>
      <c r="F157" t="s">
        <v>112</v>
      </c>
      <c r="G157" t="s">
        <v>636</v>
      </c>
      <c r="H157" t="s">
        <v>634</v>
      </c>
      <c r="I157" t="s">
        <v>443</v>
      </c>
      <c r="J157" t="s">
        <v>397</v>
      </c>
      <c r="K157" t="str">
        <v>941.64</v>
      </c>
      <c r="L157" s="2">
        <f t="shared" si="2"/>
        <v>941.64</v>
      </c>
    </row>
    <row r="158" spans="1:12" x14ac:dyDescent="0.35">
      <c r="A158" t="s">
        <v>398</v>
      </c>
      <c r="B158">
        <v>2019</v>
      </c>
      <c r="C158">
        <v>8.1999999999999993</v>
      </c>
      <c r="D158" s="1">
        <v>234496</v>
      </c>
      <c r="E158">
        <v>96</v>
      </c>
      <c r="F158" t="s">
        <v>49</v>
      </c>
      <c r="G158" t="s">
        <v>636</v>
      </c>
      <c r="H158" t="s">
        <v>634</v>
      </c>
      <c r="I158" t="s">
        <v>443</v>
      </c>
      <c r="K158" t="str">
        <v/>
      </c>
      <c r="L158" s="2"/>
    </row>
    <row r="159" spans="1:12" x14ac:dyDescent="0.35">
      <c r="A159" t="s">
        <v>399</v>
      </c>
      <c r="B159">
        <v>1961</v>
      </c>
      <c r="C159">
        <v>8.1999999999999993</v>
      </c>
      <c r="D159" s="1">
        <v>142437</v>
      </c>
      <c r="E159">
        <v>110</v>
      </c>
      <c r="F159" t="s">
        <v>22</v>
      </c>
      <c r="G159" t="s">
        <v>633</v>
      </c>
      <c r="H159" t="s">
        <v>10</v>
      </c>
      <c r="I159" t="s">
        <v>664</v>
      </c>
      <c r="J159" t="s">
        <v>401</v>
      </c>
      <c r="K159" t="str">
        <v>0.07</v>
      </c>
      <c r="L159" s="2">
        <f t="shared" si="2"/>
        <v>7.0000000000000007E-2</v>
      </c>
    </row>
    <row r="160" spans="1:12" x14ac:dyDescent="0.35">
      <c r="A160" t="s">
        <v>402</v>
      </c>
      <c r="B160">
        <v>1963</v>
      </c>
      <c r="C160">
        <v>8.1999999999999993</v>
      </c>
      <c r="D160" s="1">
        <v>276420</v>
      </c>
      <c r="E160">
        <v>172</v>
      </c>
      <c r="F160" t="s">
        <v>22</v>
      </c>
      <c r="G160" t="s">
        <v>634</v>
      </c>
      <c r="H160" t="s">
        <v>10</v>
      </c>
      <c r="I160" t="s">
        <v>664</v>
      </c>
      <c r="J160" t="s">
        <v>404</v>
      </c>
      <c r="K160" t="str">
        <v>0.23</v>
      </c>
      <c r="L160" s="2">
        <f t="shared" si="2"/>
        <v>0.23</v>
      </c>
    </row>
    <row r="161" spans="1:12" x14ac:dyDescent="0.35">
      <c r="A161" t="s">
        <v>405</v>
      </c>
      <c r="B161">
        <v>1980</v>
      </c>
      <c r="C161">
        <v>8.1999999999999993</v>
      </c>
      <c r="D161" s="1">
        <v>281198</v>
      </c>
      <c r="E161">
        <v>124</v>
      </c>
      <c r="F161" t="s">
        <v>49</v>
      </c>
      <c r="G161" t="s">
        <v>635</v>
      </c>
      <c r="H161" t="s">
        <v>10</v>
      </c>
      <c r="J161" t="s">
        <v>406</v>
      </c>
      <c r="K161" t="str">
        <v>26.08</v>
      </c>
      <c r="L161" s="2">
        <f t="shared" si="2"/>
        <v>26.08</v>
      </c>
    </row>
    <row r="162" spans="1:12" x14ac:dyDescent="0.35">
      <c r="A162" t="s">
        <v>407</v>
      </c>
      <c r="B162">
        <v>1975</v>
      </c>
      <c r="C162">
        <v>8.1999999999999993</v>
      </c>
      <c r="D162" s="1">
        <v>601468</v>
      </c>
      <c r="E162">
        <v>91</v>
      </c>
      <c r="F162" t="s">
        <v>49</v>
      </c>
      <c r="G162" t="s">
        <v>634</v>
      </c>
      <c r="H162" t="s">
        <v>443</v>
      </c>
      <c r="I162" t="s">
        <v>660</v>
      </c>
      <c r="J162" t="s">
        <v>274</v>
      </c>
      <c r="K162" t="str">
        <v>2.94</v>
      </c>
      <c r="L162" s="2">
        <f t="shared" si="2"/>
        <v>2.94</v>
      </c>
    </row>
    <row r="163" spans="1:12" x14ac:dyDescent="0.35">
      <c r="A163" t="s">
        <v>409</v>
      </c>
      <c r="B163">
        <v>1954</v>
      </c>
      <c r="C163">
        <v>8.1</v>
      </c>
      <c r="D163" s="1">
        <v>203905</v>
      </c>
      <c r="E163">
        <v>105</v>
      </c>
      <c r="F163" t="s">
        <v>49</v>
      </c>
      <c r="G163" t="s">
        <v>632</v>
      </c>
      <c r="H163" t="s">
        <v>10</v>
      </c>
      <c r="I163" t="s">
        <v>637</v>
      </c>
      <c r="J163" t="s">
        <v>362</v>
      </c>
      <c r="K163" t="str">
        <v>0.05</v>
      </c>
      <c r="L163" s="2">
        <f t="shared" si="2"/>
        <v>0.05</v>
      </c>
    </row>
    <row r="164" spans="1:12" x14ac:dyDescent="0.35">
      <c r="A164" t="s">
        <v>410</v>
      </c>
      <c r="B164">
        <v>2003</v>
      </c>
      <c r="C164">
        <v>8.4</v>
      </c>
      <c r="D164" s="1">
        <v>27811</v>
      </c>
      <c r="E164">
        <v>374</v>
      </c>
      <c r="F164" t="s">
        <v>9</v>
      </c>
      <c r="G164" t="s">
        <v>10</v>
      </c>
      <c r="H164" t="s">
        <v>663</v>
      </c>
      <c r="J164" t="s">
        <v>411</v>
      </c>
      <c r="K164" t="str">
        <v>2.80</v>
      </c>
      <c r="L164" s="2">
        <f t="shared" si="2"/>
        <v>2.8</v>
      </c>
    </row>
    <row r="165" spans="1:12" x14ac:dyDescent="0.35">
      <c r="A165" t="s">
        <v>412</v>
      </c>
      <c r="B165">
        <v>2025</v>
      </c>
      <c r="C165">
        <v>8.4</v>
      </c>
      <c r="D165" s="1">
        <v>66370</v>
      </c>
      <c r="E165">
        <v>155</v>
      </c>
      <c r="F165" t="s">
        <v>9</v>
      </c>
      <c r="G165" t="s">
        <v>636</v>
      </c>
      <c r="H165" t="s">
        <v>633</v>
      </c>
      <c r="I165" t="s">
        <v>634</v>
      </c>
      <c r="J165" t="s">
        <v>413</v>
      </c>
      <c r="K165" t="str">
        <v>740.85</v>
      </c>
      <c r="L165" s="2">
        <f t="shared" si="2"/>
        <v>740.85</v>
      </c>
    </row>
    <row r="166" spans="1:12" x14ac:dyDescent="0.35">
      <c r="A166" t="s">
        <v>414</v>
      </c>
      <c r="B166">
        <v>2010</v>
      </c>
      <c r="C166">
        <v>8.1999999999999993</v>
      </c>
      <c r="D166" s="1">
        <v>240984</v>
      </c>
      <c r="E166">
        <v>129</v>
      </c>
      <c r="F166" t="s">
        <v>9</v>
      </c>
      <c r="G166" t="s">
        <v>10</v>
      </c>
      <c r="H166" t="s">
        <v>637</v>
      </c>
      <c r="I166" t="s">
        <v>663</v>
      </c>
      <c r="J166" t="s">
        <v>416</v>
      </c>
      <c r="K166" t="str">
        <v>35.08</v>
      </c>
      <c r="L166" s="2">
        <f t="shared" si="2"/>
        <v>35.08</v>
      </c>
    </row>
    <row r="167" spans="1:12" x14ac:dyDescent="0.35">
      <c r="A167" t="s">
        <v>417</v>
      </c>
      <c r="B167">
        <v>1940</v>
      </c>
      <c r="C167">
        <v>8.1999999999999993</v>
      </c>
      <c r="D167" s="1">
        <v>355221</v>
      </c>
      <c r="E167">
        <v>238</v>
      </c>
      <c r="F167" t="s">
        <v>112</v>
      </c>
      <c r="G167" t="s">
        <v>10</v>
      </c>
      <c r="H167" t="s">
        <v>663</v>
      </c>
      <c r="I167" t="s">
        <v>666</v>
      </c>
      <c r="J167" t="s">
        <v>418</v>
      </c>
      <c r="K167" t="str">
        <v>402.38</v>
      </c>
      <c r="L167" s="2">
        <f t="shared" si="2"/>
        <v>402.38</v>
      </c>
    </row>
    <row r="168" spans="1:12" x14ac:dyDescent="0.35">
      <c r="A168" t="s">
        <v>419</v>
      </c>
      <c r="B168">
        <v>1974</v>
      </c>
      <c r="C168">
        <v>8.1</v>
      </c>
      <c r="D168" s="1">
        <v>375550</v>
      </c>
      <c r="E168">
        <v>130</v>
      </c>
      <c r="F168" t="s">
        <v>9</v>
      </c>
      <c r="G168" t="s">
        <v>10</v>
      </c>
      <c r="H168" t="s">
        <v>637</v>
      </c>
      <c r="I168" t="s">
        <v>664</v>
      </c>
      <c r="J168" t="s">
        <v>420</v>
      </c>
      <c r="K168" t="str">
        <v>29.23</v>
      </c>
      <c r="L168" s="2">
        <f t="shared" si="2"/>
        <v>29.23</v>
      </c>
    </row>
    <row r="169" spans="1:12" x14ac:dyDescent="0.35">
      <c r="A169" t="s">
        <v>421</v>
      </c>
      <c r="B169">
        <v>1998</v>
      </c>
      <c r="C169">
        <v>8.1</v>
      </c>
      <c r="D169" s="1">
        <v>648246</v>
      </c>
      <c r="E169">
        <v>107</v>
      </c>
      <c r="F169" t="s">
        <v>9</v>
      </c>
      <c r="G169" t="s">
        <v>443</v>
      </c>
      <c r="H169" t="s">
        <v>632</v>
      </c>
      <c r="J169" t="s">
        <v>422</v>
      </c>
      <c r="K169" t="str">
        <v>3.75</v>
      </c>
      <c r="L169" s="2">
        <f t="shared" si="2"/>
        <v>3.75</v>
      </c>
    </row>
    <row r="170" spans="1:12" x14ac:dyDescent="0.35">
      <c r="A170" t="s">
        <v>423</v>
      </c>
      <c r="B170">
        <v>2006</v>
      </c>
      <c r="C170">
        <v>8.1</v>
      </c>
      <c r="D170" s="1">
        <v>1241984</v>
      </c>
      <c r="E170">
        <v>132</v>
      </c>
      <c r="F170" t="s">
        <v>9</v>
      </c>
      <c r="G170" t="s">
        <v>633</v>
      </c>
      <c r="H170" t="s">
        <v>10</v>
      </c>
      <c r="I170" t="s">
        <v>665</v>
      </c>
      <c r="J170" t="s">
        <v>425</v>
      </c>
      <c r="K170" t="str">
        <v>134.69</v>
      </c>
      <c r="L170" s="2">
        <f t="shared" si="2"/>
        <v>134.69</v>
      </c>
    </row>
    <row r="171" spans="1:12" x14ac:dyDescent="0.35">
      <c r="A171" t="s">
        <v>426</v>
      </c>
      <c r="B171">
        <v>2002</v>
      </c>
      <c r="C171">
        <v>8.1</v>
      </c>
      <c r="D171" s="1">
        <v>1225671</v>
      </c>
      <c r="E171">
        <v>141</v>
      </c>
      <c r="F171" t="s">
        <v>16</v>
      </c>
      <c r="G171" t="s">
        <v>635</v>
      </c>
      <c r="H171" t="s">
        <v>632</v>
      </c>
      <c r="I171" t="s">
        <v>10</v>
      </c>
      <c r="J171" t="s">
        <v>427</v>
      </c>
      <c r="K171" t="str">
        <v>352.11</v>
      </c>
      <c r="L171" s="2">
        <f t="shared" si="2"/>
        <v>352.11</v>
      </c>
    </row>
    <row r="172" spans="1:12" x14ac:dyDescent="0.35">
      <c r="A172" t="s">
        <v>428</v>
      </c>
      <c r="B172">
        <v>2015</v>
      </c>
      <c r="C172">
        <v>8.1</v>
      </c>
      <c r="D172" s="1">
        <v>907637</v>
      </c>
      <c r="E172">
        <v>95</v>
      </c>
      <c r="F172" t="s">
        <v>49</v>
      </c>
      <c r="G172" t="s">
        <v>636</v>
      </c>
      <c r="H172" t="s">
        <v>634</v>
      </c>
      <c r="I172" t="s">
        <v>443</v>
      </c>
      <c r="J172" t="s">
        <v>429</v>
      </c>
      <c r="K172" t="str">
        <v>859.08</v>
      </c>
      <c r="L172" s="2">
        <f t="shared" si="2"/>
        <v>859.08</v>
      </c>
    </row>
    <row r="173" spans="1:12" x14ac:dyDescent="0.35">
      <c r="A173" t="s">
        <v>430</v>
      </c>
      <c r="B173">
        <v>1951</v>
      </c>
      <c r="C173">
        <v>8.1</v>
      </c>
      <c r="D173" s="1">
        <v>195645</v>
      </c>
      <c r="E173">
        <v>88</v>
      </c>
      <c r="F173" t="s">
        <v>22</v>
      </c>
      <c r="G173" t="s">
        <v>632</v>
      </c>
      <c r="H173" t="s">
        <v>10</v>
      </c>
      <c r="I173" t="s">
        <v>637</v>
      </c>
      <c r="J173" t="s">
        <v>195</v>
      </c>
      <c r="K173" t="str">
        <v>0.14</v>
      </c>
      <c r="L173" s="2">
        <f t="shared" si="2"/>
        <v>0.14000000000000001</v>
      </c>
    </row>
    <row r="174" spans="1:12" x14ac:dyDescent="0.35">
      <c r="A174" t="s">
        <v>431</v>
      </c>
      <c r="B174">
        <v>2017</v>
      </c>
      <c r="C174">
        <v>8.1</v>
      </c>
      <c r="D174" s="1">
        <v>603567</v>
      </c>
      <c r="E174">
        <v>115</v>
      </c>
      <c r="F174" t="s">
        <v>9</v>
      </c>
      <c r="G174" t="s">
        <v>443</v>
      </c>
      <c r="H174" t="s">
        <v>632</v>
      </c>
      <c r="I174" t="s">
        <v>10</v>
      </c>
      <c r="J174" t="s">
        <v>432</v>
      </c>
      <c r="K174" t="str">
        <v>162.73</v>
      </c>
      <c r="L174" s="2">
        <f t="shared" si="2"/>
        <v>162.72999999999999</v>
      </c>
    </row>
    <row r="175" spans="1:12" x14ac:dyDescent="0.35">
      <c r="A175" t="s">
        <v>433</v>
      </c>
      <c r="B175">
        <v>1996</v>
      </c>
      <c r="C175">
        <v>8.1</v>
      </c>
      <c r="D175" s="1">
        <v>766474</v>
      </c>
      <c r="E175">
        <v>93</v>
      </c>
      <c r="F175" t="s">
        <v>9</v>
      </c>
      <c r="G175" t="s">
        <v>632</v>
      </c>
      <c r="H175" t="s">
        <v>10</v>
      </c>
      <c r="J175" t="s">
        <v>434</v>
      </c>
      <c r="K175" t="str">
        <v>16.99</v>
      </c>
      <c r="L175" s="2">
        <f t="shared" si="2"/>
        <v>16.989999999999998</v>
      </c>
    </row>
    <row r="176" spans="1:12" x14ac:dyDescent="0.35">
      <c r="A176" t="s">
        <v>435</v>
      </c>
      <c r="B176">
        <v>1957</v>
      </c>
      <c r="C176">
        <v>8.1</v>
      </c>
      <c r="D176" s="1">
        <v>247890</v>
      </c>
      <c r="E176">
        <v>161</v>
      </c>
      <c r="F176" t="s">
        <v>49</v>
      </c>
      <c r="G176" t="s">
        <v>634</v>
      </c>
      <c r="H176" t="s">
        <v>10</v>
      </c>
      <c r="I176" t="s">
        <v>666</v>
      </c>
      <c r="J176" t="s">
        <v>436</v>
      </c>
      <c r="K176" t="str">
        <v>27.20</v>
      </c>
      <c r="L176" s="2">
        <f t="shared" si="2"/>
        <v>27.2</v>
      </c>
    </row>
    <row r="177" spans="1:12" x14ac:dyDescent="0.35">
      <c r="A177" t="s">
        <v>437</v>
      </c>
      <c r="B177">
        <v>2011</v>
      </c>
      <c r="C177">
        <v>8.1</v>
      </c>
      <c r="D177" s="1">
        <v>1039009</v>
      </c>
      <c r="E177">
        <v>130</v>
      </c>
      <c r="F177" t="s">
        <v>16</v>
      </c>
      <c r="G177" t="s">
        <v>634</v>
      </c>
      <c r="H177" t="s">
        <v>659</v>
      </c>
      <c r="I177" t="s">
        <v>660</v>
      </c>
      <c r="J177" t="s">
        <v>439</v>
      </c>
      <c r="K177" t="str">
        <v>1342.94</v>
      </c>
      <c r="L177" s="2">
        <f t="shared" si="2"/>
        <v>1342.94</v>
      </c>
    </row>
    <row r="178" spans="1:12" x14ac:dyDescent="0.35">
      <c r="A178" t="s">
        <v>440</v>
      </c>
      <c r="B178">
        <v>1989</v>
      </c>
      <c r="C178">
        <v>8.1</v>
      </c>
      <c r="D178" s="1">
        <v>645268</v>
      </c>
      <c r="E178">
        <v>128</v>
      </c>
      <c r="F178" t="s">
        <v>49</v>
      </c>
      <c r="G178" t="s">
        <v>443</v>
      </c>
      <c r="H178" t="s">
        <v>10</v>
      </c>
      <c r="J178" t="s">
        <v>441</v>
      </c>
      <c r="K178" t="str">
        <v>235.86</v>
      </c>
      <c r="L178" s="2">
        <f t="shared" si="2"/>
        <v>235.86</v>
      </c>
    </row>
    <row r="179" spans="1:12" x14ac:dyDescent="0.35">
      <c r="A179" t="s">
        <v>442</v>
      </c>
      <c r="B179">
        <v>1975</v>
      </c>
      <c r="C179">
        <v>8.5</v>
      </c>
      <c r="D179" s="1">
        <v>30134</v>
      </c>
      <c r="E179">
        <v>95</v>
      </c>
      <c r="F179" t="s">
        <v>22</v>
      </c>
      <c r="G179" t="s">
        <v>443</v>
      </c>
      <c r="K179" t="str">
        <v/>
      </c>
      <c r="L179" s="2"/>
    </row>
    <row r="180" spans="1:12" x14ac:dyDescent="0.35">
      <c r="A180" t="s">
        <v>444</v>
      </c>
      <c r="B180">
        <v>2024</v>
      </c>
      <c r="C180">
        <v>8.1999999999999993</v>
      </c>
      <c r="D180" s="1">
        <v>217407</v>
      </c>
      <c r="E180">
        <v>102</v>
      </c>
      <c r="F180" t="s">
        <v>49</v>
      </c>
      <c r="G180" t="s">
        <v>636</v>
      </c>
      <c r="H180" t="s">
        <v>634</v>
      </c>
      <c r="I180" t="s">
        <v>659</v>
      </c>
      <c r="J180" t="s">
        <v>445</v>
      </c>
      <c r="K180" t="str">
        <v>334.54</v>
      </c>
      <c r="L180" s="2">
        <f t="shared" si="2"/>
        <v>334.54</v>
      </c>
    </row>
    <row r="181" spans="1:12" x14ac:dyDescent="0.35">
      <c r="A181" t="s">
        <v>446</v>
      </c>
      <c r="B181">
        <v>2011</v>
      </c>
      <c r="C181">
        <v>8.1</v>
      </c>
      <c r="D181" s="1">
        <v>526794</v>
      </c>
      <c r="E181">
        <v>140</v>
      </c>
      <c r="F181" t="s">
        <v>16</v>
      </c>
      <c r="G181" t="s">
        <v>633</v>
      </c>
      <c r="H181" t="s">
        <v>10</v>
      </c>
      <c r="I181" t="s">
        <v>670</v>
      </c>
      <c r="J181" t="s">
        <v>448</v>
      </c>
      <c r="K181" t="str">
        <v>23.31</v>
      </c>
      <c r="L181" s="2">
        <f t="shared" si="2"/>
        <v>23.31</v>
      </c>
    </row>
    <row r="182" spans="1:12" x14ac:dyDescent="0.35">
      <c r="A182" t="s">
        <v>449</v>
      </c>
      <c r="B182">
        <v>1996</v>
      </c>
      <c r="C182">
        <v>8.1</v>
      </c>
      <c r="D182" s="1">
        <v>783492</v>
      </c>
      <c r="E182">
        <v>98</v>
      </c>
      <c r="F182" t="s">
        <v>9</v>
      </c>
      <c r="G182" t="s">
        <v>632</v>
      </c>
      <c r="H182" t="s">
        <v>10</v>
      </c>
      <c r="I182" t="s">
        <v>664</v>
      </c>
      <c r="J182" t="s">
        <v>450</v>
      </c>
      <c r="K182" t="str">
        <v>60.61</v>
      </c>
      <c r="L182" s="2">
        <f t="shared" si="2"/>
        <v>60.61</v>
      </c>
    </row>
    <row r="183" spans="1:12" x14ac:dyDescent="0.35">
      <c r="A183" t="s">
        <v>451</v>
      </c>
      <c r="B183">
        <v>1975</v>
      </c>
      <c r="C183">
        <v>8.1</v>
      </c>
      <c r="D183" s="1">
        <v>203027</v>
      </c>
      <c r="E183">
        <v>185</v>
      </c>
      <c r="F183" t="s">
        <v>49</v>
      </c>
      <c r="G183" t="s">
        <v>634</v>
      </c>
      <c r="H183" t="s">
        <v>10</v>
      </c>
      <c r="I183" t="s">
        <v>666</v>
      </c>
      <c r="J183" t="s">
        <v>452</v>
      </c>
      <c r="K183" t="str">
        <v>0.58</v>
      </c>
      <c r="L183" s="2">
        <f t="shared" si="2"/>
        <v>0.57999999999999996</v>
      </c>
    </row>
    <row r="184" spans="1:12" x14ac:dyDescent="0.35">
      <c r="A184" t="s">
        <v>453</v>
      </c>
      <c r="B184">
        <v>1980</v>
      </c>
      <c r="C184">
        <v>8.1</v>
      </c>
      <c r="D184" s="1">
        <v>408711</v>
      </c>
      <c r="E184">
        <v>129</v>
      </c>
      <c r="F184" t="s">
        <v>9</v>
      </c>
      <c r="G184" t="s">
        <v>635</v>
      </c>
      <c r="H184" t="s">
        <v>10</v>
      </c>
      <c r="I184" t="s">
        <v>670</v>
      </c>
      <c r="J184" t="s">
        <v>455</v>
      </c>
      <c r="K184" t="str">
        <v>23.41</v>
      </c>
      <c r="L184" s="2">
        <f t="shared" si="2"/>
        <v>23.41</v>
      </c>
    </row>
    <row r="185" spans="1:12" x14ac:dyDescent="0.35">
      <c r="A185" t="s">
        <v>456</v>
      </c>
      <c r="B185">
        <v>1959</v>
      </c>
      <c r="C185">
        <v>8.1</v>
      </c>
      <c r="D185" s="1">
        <v>270381</v>
      </c>
      <c r="E185">
        <v>212</v>
      </c>
      <c r="F185" t="s">
        <v>112</v>
      </c>
      <c r="G185" t="s">
        <v>634</v>
      </c>
      <c r="H185" t="s">
        <v>10</v>
      </c>
      <c r="J185" t="s">
        <v>458</v>
      </c>
      <c r="K185" t="str">
        <v>74.44</v>
      </c>
      <c r="L185" s="2">
        <f t="shared" si="2"/>
        <v>74.44</v>
      </c>
    </row>
    <row r="186" spans="1:12" x14ac:dyDescent="0.35">
      <c r="A186" t="s">
        <v>459</v>
      </c>
      <c r="B186">
        <v>2005</v>
      </c>
      <c r="C186">
        <v>8.1</v>
      </c>
      <c r="D186" s="1">
        <v>763230</v>
      </c>
      <c r="E186">
        <v>132</v>
      </c>
      <c r="F186" t="s">
        <v>16</v>
      </c>
      <c r="G186" t="s">
        <v>10</v>
      </c>
      <c r="H186" t="s">
        <v>670</v>
      </c>
      <c r="J186" t="s">
        <v>461</v>
      </c>
      <c r="K186" t="str">
        <v>216.76</v>
      </c>
      <c r="L186" s="2">
        <f t="shared" si="2"/>
        <v>216.76</v>
      </c>
    </row>
    <row r="187" spans="1:12" x14ac:dyDescent="0.35">
      <c r="A187" t="s">
        <v>462</v>
      </c>
      <c r="B187">
        <v>2015</v>
      </c>
      <c r="C187">
        <v>8.1</v>
      </c>
      <c r="D187" s="1">
        <v>1200736</v>
      </c>
      <c r="E187">
        <v>120</v>
      </c>
      <c r="F187" t="s">
        <v>9</v>
      </c>
      <c r="G187" t="s">
        <v>633</v>
      </c>
      <c r="H187" t="s">
        <v>634</v>
      </c>
      <c r="I187" t="s">
        <v>665</v>
      </c>
      <c r="J187" t="s">
        <v>463</v>
      </c>
      <c r="K187" t="str">
        <v>380.46</v>
      </c>
      <c r="L187" s="2">
        <f t="shared" si="2"/>
        <v>380.46</v>
      </c>
    </row>
    <row r="188" spans="1:12" x14ac:dyDescent="0.35">
      <c r="A188" t="s">
        <v>464</v>
      </c>
      <c r="B188">
        <v>1999</v>
      </c>
      <c r="C188">
        <v>8.1999999999999993</v>
      </c>
      <c r="D188" s="1">
        <v>89440</v>
      </c>
      <c r="E188">
        <v>89</v>
      </c>
      <c r="F188" t="s">
        <v>49</v>
      </c>
      <c r="G188" t="s">
        <v>10</v>
      </c>
      <c r="H188" t="s">
        <v>659</v>
      </c>
      <c r="I188" t="s">
        <v>670</v>
      </c>
      <c r="J188" t="s">
        <v>466</v>
      </c>
      <c r="K188" t="str">
        <v>0.93</v>
      </c>
      <c r="L188" s="2">
        <f t="shared" si="2"/>
        <v>0.93</v>
      </c>
    </row>
    <row r="189" spans="1:12" x14ac:dyDescent="0.35">
      <c r="A189" t="s">
        <v>467</v>
      </c>
      <c r="B189">
        <v>2016</v>
      </c>
      <c r="C189">
        <v>8.1</v>
      </c>
      <c r="D189" s="1">
        <v>674696</v>
      </c>
      <c r="E189">
        <v>139</v>
      </c>
      <c r="F189" t="s">
        <v>9</v>
      </c>
      <c r="G189" t="s">
        <v>635</v>
      </c>
      <c r="H189" t="s">
        <v>10</v>
      </c>
      <c r="I189" t="s">
        <v>661</v>
      </c>
      <c r="J189" t="s">
        <v>468</v>
      </c>
      <c r="K189" t="str">
        <v>180.56</v>
      </c>
      <c r="L189" s="2">
        <f t="shared" si="2"/>
        <v>180.56</v>
      </c>
    </row>
    <row r="190" spans="1:12" x14ac:dyDescent="0.35">
      <c r="A190" t="s">
        <v>469</v>
      </c>
      <c r="B190">
        <v>1990</v>
      </c>
      <c r="C190">
        <v>8.1</v>
      </c>
      <c r="D190" s="1">
        <v>428023</v>
      </c>
      <c r="E190">
        <v>86</v>
      </c>
      <c r="F190" t="s">
        <v>112</v>
      </c>
      <c r="G190" t="s">
        <v>636</v>
      </c>
      <c r="H190" t="s">
        <v>634</v>
      </c>
      <c r="I190" t="s">
        <v>443</v>
      </c>
      <c r="J190" t="s">
        <v>470</v>
      </c>
      <c r="K190" t="str">
        <v>31.04</v>
      </c>
      <c r="L190" s="2">
        <f t="shared" si="2"/>
        <v>31.04</v>
      </c>
    </row>
    <row r="191" spans="1:12" x14ac:dyDescent="0.35">
      <c r="A191" t="s">
        <v>471</v>
      </c>
      <c r="B191">
        <v>2009</v>
      </c>
      <c r="C191">
        <v>8.1</v>
      </c>
      <c r="D191" s="1">
        <v>858707</v>
      </c>
      <c r="E191">
        <v>116</v>
      </c>
      <c r="F191" t="s">
        <v>9</v>
      </c>
      <c r="G191" t="s">
        <v>10</v>
      </c>
      <c r="J191" t="s">
        <v>472</v>
      </c>
      <c r="K191" t="str">
        <v>269.96</v>
      </c>
      <c r="L191" s="2">
        <f t="shared" si="2"/>
        <v>269.95999999999998</v>
      </c>
    </row>
    <row r="192" spans="1:12" x14ac:dyDescent="0.35">
      <c r="A192" t="s">
        <v>473</v>
      </c>
      <c r="B192">
        <v>2013</v>
      </c>
      <c r="C192">
        <v>8.1</v>
      </c>
      <c r="D192" s="1">
        <v>783533</v>
      </c>
      <c r="E192">
        <v>134</v>
      </c>
      <c r="F192" t="s">
        <v>9</v>
      </c>
      <c r="G192" t="s">
        <v>635</v>
      </c>
      <c r="H192" t="s">
        <v>10</v>
      </c>
      <c r="I192" t="s">
        <v>661</v>
      </c>
      <c r="J192" t="s">
        <v>474</v>
      </c>
      <c r="K192" t="str">
        <v>187.73</v>
      </c>
      <c r="L192" s="2">
        <f t="shared" si="2"/>
        <v>187.73</v>
      </c>
    </row>
    <row r="193" spans="1:12" x14ac:dyDescent="0.35">
      <c r="A193" t="s">
        <v>475</v>
      </c>
      <c r="B193">
        <v>2007</v>
      </c>
      <c r="C193">
        <v>8.1</v>
      </c>
      <c r="D193" s="1">
        <v>935027</v>
      </c>
      <c r="E193">
        <v>111</v>
      </c>
      <c r="F193" t="s">
        <v>112</v>
      </c>
      <c r="G193" t="s">
        <v>636</v>
      </c>
      <c r="H193" t="s">
        <v>634</v>
      </c>
      <c r="I193" t="s">
        <v>443</v>
      </c>
      <c r="J193" t="s">
        <v>476</v>
      </c>
      <c r="K193" t="str">
        <v>623.74</v>
      </c>
      <c r="L193" s="2">
        <f t="shared" si="2"/>
        <v>623.74</v>
      </c>
    </row>
    <row r="194" spans="1:12" x14ac:dyDescent="0.35">
      <c r="A194" t="s">
        <v>477</v>
      </c>
      <c r="B194">
        <v>2014</v>
      </c>
      <c r="C194">
        <v>8.1</v>
      </c>
      <c r="D194" s="1">
        <v>963687</v>
      </c>
      <c r="E194">
        <v>99</v>
      </c>
      <c r="F194" t="s">
        <v>9</v>
      </c>
      <c r="G194" t="s">
        <v>443</v>
      </c>
      <c r="H194" t="s">
        <v>10</v>
      </c>
      <c r="J194" t="s">
        <v>478</v>
      </c>
      <c r="K194" t="str">
        <v>174.57</v>
      </c>
      <c r="L194" s="2">
        <f t="shared" si="2"/>
        <v>174.57</v>
      </c>
    </row>
    <row r="195" spans="1:12" x14ac:dyDescent="0.35">
      <c r="A195" t="s">
        <v>479</v>
      </c>
      <c r="B195">
        <v>1995</v>
      </c>
      <c r="C195">
        <v>8.1</v>
      </c>
      <c r="D195" s="1">
        <v>374563</v>
      </c>
      <c r="E195">
        <v>101</v>
      </c>
      <c r="F195" t="s">
        <v>9</v>
      </c>
      <c r="G195" t="s">
        <v>443</v>
      </c>
      <c r="H195" t="s">
        <v>10</v>
      </c>
      <c r="I195" t="s">
        <v>663</v>
      </c>
      <c r="J195" t="s">
        <v>480</v>
      </c>
      <c r="K195" t="str">
        <v>6.58</v>
      </c>
      <c r="L195" s="2">
        <f t="shared" ref="L195:L251" si="3">VALUE(K195)</f>
        <v>6.58</v>
      </c>
    </row>
    <row r="196" spans="1:12" x14ac:dyDescent="0.35">
      <c r="A196" t="s">
        <v>481</v>
      </c>
      <c r="B196">
        <v>2003</v>
      </c>
      <c r="C196">
        <v>8.1</v>
      </c>
      <c r="D196" s="1">
        <v>263135</v>
      </c>
      <c r="E196">
        <v>131</v>
      </c>
      <c r="F196" t="s">
        <v>22</v>
      </c>
      <c r="G196" t="s">
        <v>632</v>
      </c>
      <c r="H196" t="s">
        <v>10</v>
      </c>
      <c r="I196" t="s">
        <v>637</v>
      </c>
      <c r="J196" t="s">
        <v>482</v>
      </c>
      <c r="K196" t="str">
        <v>1.21</v>
      </c>
      <c r="L196" s="2">
        <f t="shared" si="3"/>
        <v>1.21</v>
      </c>
    </row>
    <row r="197" spans="1:12" x14ac:dyDescent="0.35">
      <c r="A197" t="s">
        <v>483</v>
      </c>
      <c r="B197">
        <v>1982</v>
      </c>
      <c r="C197">
        <v>8.1</v>
      </c>
      <c r="D197" s="1">
        <v>877911</v>
      </c>
      <c r="E197">
        <v>117</v>
      </c>
      <c r="F197" t="s">
        <v>9</v>
      </c>
      <c r="G197" t="s">
        <v>633</v>
      </c>
      <c r="H197" t="s">
        <v>10</v>
      </c>
      <c r="I197" t="s">
        <v>665</v>
      </c>
      <c r="J197" t="s">
        <v>484</v>
      </c>
      <c r="K197" t="str">
        <v>41.80</v>
      </c>
      <c r="L197" s="2">
        <f t="shared" si="3"/>
        <v>41.8</v>
      </c>
    </row>
    <row r="198" spans="1:12" x14ac:dyDescent="0.35">
      <c r="A198" t="s">
        <v>485</v>
      </c>
      <c r="B198">
        <v>2010</v>
      </c>
      <c r="C198">
        <v>8.1</v>
      </c>
      <c r="D198" s="1">
        <v>887580</v>
      </c>
      <c r="E198">
        <v>98</v>
      </c>
      <c r="F198" t="s">
        <v>49</v>
      </c>
      <c r="G198" t="s">
        <v>636</v>
      </c>
      <c r="H198" t="s">
        <v>633</v>
      </c>
      <c r="I198" t="s">
        <v>634</v>
      </c>
      <c r="J198" t="s">
        <v>486</v>
      </c>
      <c r="K198" t="str">
        <v>494.88</v>
      </c>
      <c r="L198" s="2">
        <f t="shared" si="3"/>
        <v>494.88</v>
      </c>
    </row>
    <row r="199" spans="1:12" x14ac:dyDescent="0.35">
      <c r="A199" t="s">
        <v>487</v>
      </c>
      <c r="B199">
        <v>2021</v>
      </c>
      <c r="C199">
        <v>8.1</v>
      </c>
      <c r="D199" s="1">
        <v>1007947</v>
      </c>
      <c r="E199">
        <v>148</v>
      </c>
      <c r="F199" t="s">
        <v>16</v>
      </c>
      <c r="G199" t="s">
        <v>633</v>
      </c>
      <c r="H199" t="s">
        <v>634</v>
      </c>
      <c r="I199" t="s">
        <v>660</v>
      </c>
      <c r="J199" t="s">
        <v>488</v>
      </c>
      <c r="K199" t="str">
        <v>1921.43</v>
      </c>
      <c r="L199" s="2">
        <f t="shared" si="3"/>
        <v>1921.43</v>
      </c>
    </row>
    <row r="200" spans="1:12" x14ac:dyDescent="0.35">
      <c r="A200" t="s">
        <v>489</v>
      </c>
      <c r="B200">
        <v>2014</v>
      </c>
      <c r="C200">
        <v>8.1</v>
      </c>
      <c r="D200" s="1">
        <v>1161682</v>
      </c>
      <c r="E200">
        <v>149</v>
      </c>
      <c r="F200" t="s">
        <v>9</v>
      </c>
      <c r="G200" t="s">
        <v>10</v>
      </c>
      <c r="H200" t="s">
        <v>637</v>
      </c>
      <c r="I200" t="s">
        <v>664</v>
      </c>
      <c r="J200" t="s">
        <v>490</v>
      </c>
      <c r="K200" t="str">
        <v>370.89</v>
      </c>
      <c r="L200" s="2">
        <f t="shared" si="3"/>
        <v>370.89</v>
      </c>
    </row>
    <row r="201" spans="1:12" x14ac:dyDescent="0.35">
      <c r="A201" t="s">
        <v>491</v>
      </c>
      <c r="B201">
        <v>2001</v>
      </c>
      <c r="C201">
        <v>8.1</v>
      </c>
      <c r="D201" s="1">
        <v>1068117</v>
      </c>
      <c r="E201">
        <v>92</v>
      </c>
      <c r="F201" t="s">
        <v>112</v>
      </c>
      <c r="G201" t="s">
        <v>636</v>
      </c>
      <c r="H201" t="s">
        <v>634</v>
      </c>
      <c r="I201" t="s">
        <v>443</v>
      </c>
      <c r="J201" t="s">
        <v>492</v>
      </c>
      <c r="K201" t="str">
        <v>579.77</v>
      </c>
      <c r="L201" s="2">
        <f t="shared" si="3"/>
        <v>579.77</v>
      </c>
    </row>
    <row r="202" spans="1:12" x14ac:dyDescent="0.35">
      <c r="A202" t="s">
        <v>493</v>
      </c>
      <c r="B202">
        <v>1975</v>
      </c>
      <c r="C202">
        <v>8.1</v>
      </c>
      <c r="D202" s="1">
        <v>733019</v>
      </c>
      <c r="E202">
        <v>124</v>
      </c>
      <c r="F202" t="s">
        <v>49</v>
      </c>
      <c r="G202" t="s">
        <v>634</v>
      </c>
      <c r="H202" t="s">
        <v>569</v>
      </c>
      <c r="I202" t="s">
        <v>664</v>
      </c>
      <c r="J202" t="s">
        <v>495</v>
      </c>
      <c r="K202" t="str">
        <v>490.74</v>
      </c>
      <c r="L202" s="2">
        <f t="shared" si="3"/>
        <v>490.74</v>
      </c>
    </row>
    <row r="203" spans="1:12" x14ac:dyDescent="0.35">
      <c r="A203" t="s">
        <v>496</v>
      </c>
      <c r="B203">
        <v>1994</v>
      </c>
      <c r="C203">
        <v>8.1</v>
      </c>
      <c r="D203" s="1">
        <v>201918</v>
      </c>
      <c r="E203">
        <v>133</v>
      </c>
      <c r="F203" t="s">
        <v>9</v>
      </c>
      <c r="G203" t="s">
        <v>635</v>
      </c>
      <c r="H203" t="s">
        <v>632</v>
      </c>
      <c r="I203" t="s">
        <v>10</v>
      </c>
      <c r="J203" t="s">
        <v>497</v>
      </c>
      <c r="K203" t="str">
        <v>65.80</v>
      </c>
      <c r="L203" s="2">
        <f t="shared" si="3"/>
        <v>65.8</v>
      </c>
    </row>
    <row r="204" spans="1:12" x14ac:dyDescent="0.35">
      <c r="A204" t="s">
        <v>498</v>
      </c>
      <c r="B204">
        <v>2019</v>
      </c>
      <c r="C204">
        <v>8.1</v>
      </c>
      <c r="D204" s="1">
        <v>565191</v>
      </c>
      <c r="E204">
        <v>152</v>
      </c>
      <c r="F204" t="s">
        <v>16</v>
      </c>
      <c r="G204" t="s">
        <v>633</v>
      </c>
      <c r="H204" t="s">
        <v>635</v>
      </c>
      <c r="I204" t="s">
        <v>10</v>
      </c>
      <c r="J204" t="s">
        <v>499</v>
      </c>
      <c r="K204" t="str">
        <v>226.30</v>
      </c>
      <c r="L204" s="2">
        <f t="shared" si="3"/>
        <v>226.3</v>
      </c>
    </row>
    <row r="205" spans="1:12" x14ac:dyDescent="0.35">
      <c r="A205" t="s">
        <v>500</v>
      </c>
      <c r="B205">
        <v>2014</v>
      </c>
      <c r="C205">
        <v>8.1</v>
      </c>
      <c r="D205" s="1">
        <v>236910</v>
      </c>
      <c r="E205">
        <v>122</v>
      </c>
      <c r="F205" t="s">
        <v>9</v>
      </c>
      <c r="G205" t="s">
        <v>443</v>
      </c>
      <c r="H205" t="s">
        <v>10</v>
      </c>
      <c r="I205" t="s">
        <v>664</v>
      </c>
      <c r="J205" t="s">
        <v>502</v>
      </c>
      <c r="K205" t="str">
        <v>31.48</v>
      </c>
      <c r="L205" s="2">
        <f t="shared" si="3"/>
        <v>31.48</v>
      </c>
    </row>
    <row r="206" spans="1:12" x14ac:dyDescent="0.35">
      <c r="A206" t="s">
        <v>503</v>
      </c>
      <c r="B206">
        <v>1925</v>
      </c>
      <c r="C206">
        <v>8.1</v>
      </c>
      <c r="D206" s="1">
        <v>127706</v>
      </c>
      <c r="E206">
        <v>95</v>
      </c>
      <c r="F206" t="s">
        <v>22</v>
      </c>
      <c r="G206" t="s">
        <v>634</v>
      </c>
      <c r="H206" t="s">
        <v>443</v>
      </c>
      <c r="I206" t="s">
        <v>10</v>
      </c>
      <c r="J206" t="s">
        <v>505</v>
      </c>
      <c r="K206" t="str">
        <v>0.08</v>
      </c>
      <c r="L206" s="2">
        <f t="shared" si="3"/>
        <v>0.08</v>
      </c>
    </row>
    <row r="207" spans="1:12" x14ac:dyDescent="0.35">
      <c r="A207" t="s">
        <v>506</v>
      </c>
      <c r="B207">
        <v>1924</v>
      </c>
      <c r="C207">
        <v>8.1</v>
      </c>
      <c r="D207" s="1">
        <v>65275</v>
      </c>
      <c r="E207">
        <v>45</v>
      </c>
      <c r="F207" t="s">
        <v>22</v>
      </c>
      <c r="G207" t="s">
        <v>633</v>
      </c>
      <c r="H207" t="s">
        <v>443</v>
      </c>
      <c r="I207" t="s">
        <v>663</v>
      </c>
      <c r="J207" t="s">
        <v>508</v>
      </c>
      <c r="K207" t="str">
        <v>0.00</v>
      </c>
      <c r="L207" s="2">
        <f t="shared" si="3"/>
        <v>0</v>
      </c>
    </row>
    <row r="208" spans="1:12" x14ac:dyDescent="0.35">
      <c r="A208" t="s">
        <v>509</v>
      </c>
      <c r="B208">
        <v>2009</v>
      </c>
      <c r="C208">
        <v>8.1</v>
      </c>
      <c r="D208" s="1">
        <v>201032</v>
      </c>
      <c r="E208">
        <v>92</v>
      </c>
      <c r="F208" t="s">
        <v>22</v>
      </c>
      <c r="G208" t="s">
        <v>636</v>
      </c>
      <c r="H208" t="s">
        <v>443</v>
      </c>
      <c r="I208" t="s">
        <v>10</v>
      </c>
      <c r="J208" t="s">
        <v>511</v>
      </c>
      <c r="K208" t="str">
        <v>1.74</v>
      </c>
      <c r="L208" s="2">
        <f t="shared" si="3"/>
        <v>1.74</v>
      </c>
    </row>
    <row r="209" spans="1:12" x14ac:dyDescent="0.35">
      <c r="A209" t="s">
        <v>512</v>
      </c>
      <c r="B209">
        <v>1979</v>
      </c>
      <c r="C209">
        <v>8.1</v>
      </c>
      <c r="D209" s="1">
        <v>385457</v>
      </c>
      <c r="E209">
        <v>183</v>
      </c>
      <c r="F209" t="s">
        <v>9</v>
      </c>
      <c r="G209" t="s">
        <v>10</v>
      </c>
      <c r="H209" t="s">
        <v>666</v>
      </c>
      <c r="J209" t="s">
        <v>513</v>
      </c>
      <c r="K209" t="str">
        <v>49.08</v>
      </c>
      <c r="L209" s="2">
        <f t="shared" si="3"/>
        <v>49.08</v>
      </c>
    </row>
    <row r="210" spans="1:12" x14ac:dyDescent="0.35">
      <c r="A210" t="s">
        <v>514</v>
      </c>
      <c r="B210">
        <v>1955</v>
      </c>
      <c r="C210">
        <v>8.1</v>
      </c>
      <c r="D210" s="1">
        <v>73155</v>
      </c>
      <c r="E210">
        <v>156</v>
      </c>
      <c r="F210" t="s">
        <v>22</v>
      </c>
      <c r="G210" t="s">
        <v>634</v>
      </c>
      <c r="H210" t="s">
        <v>10</v>
      </c>
      <c r="I210" t="s">
        <v>664</v>
      </c>
      <c r="J210" t="s">
        <v>117</v>
      </c>
      <c r="K210" t="str">
        <v>0.02</v>
      </c>
      <c r="L210" s="2">
        <f t="shared" si="3"/>
        <v>0.02</v>
      </c>
    </row>
    <row r="211" spans="1:12" x14ac:dyDescent="0.35">
      <c r="A211" t="s">
        <v>515</v>
      </c>
      <c r="B211">
        <v>1927</v>
      </c>
      <c r="C211">
        <v>8.1</v>
      </c>
      <c r="D211" s="1">
        <v>105801</v>
      </c>
      <c r="E211">
        <v>78</v>
      </c>
      <c r="F211" t="s">
        <v>22</v>
      </c>
      <c r="G211" t="s">
        <v>633</v>
      </c>
      <c r="H211" t="s">
        <v>634</v>
      </c>
      <c r="I211" t="s">
        <v>443</v>
      </c>
      <c r="J211" t="s">
        <v>508</v>
      </c>
      <c r="K211" t="str">
        <v>0.00</v>
      </c>
      <c r="L211" s="2">
        <f t="shared" si="3"/>
        <v>0</v>
      </c>
    </row>
    <row r="212" spans="1:12" x14ac:dyDescent="0.35">
      <c r="A212" t="s">
        <v>517</v>
      </c>
      <c r="B212">
        <v>2017</v>
      </c>
      <c r="C212">
        <v>8.1</v>
      </c>
      <c r="D212" s="1">
        <v>920531</v>
      </c>
      <c r="E212">
        <v>137</v>
      </c>
      <c r="F212" t="s">
        <v>9</v>
      </c>
      <c r="G212" t="s">
        <v>633</v>
      </c>
      <c r="H212" t="s">
        <v>10</v>
      </c>
      <c r="I212" t="s">
        <v>665</v>
      </c>
      <c r="J212" t="s">
        <v>518</v>
      </c>
      <c r="K212" t="str">
        <v>619.18</v>
      </c>
      <c r="L212" s="2">
        <f t="shared" si="3"/>
        <v>619.17999999999995</v>
      </c>
    </row>
    <row r="213" spans="1:12" x14ac:dyDescent="0.35">
      <c r="A213" t="s">
        <v>519</v>
      </c>
      <c r="B213">
        <v>1976</v>
      </c>
      <c r="C213">
        <v>8.1</v>
      </c>
      <c r="D213" s="1">
        <v>684714</v>
      </c>
      <c r="E213">
        <v>120</v>
      </c>
      <c r="F213" t="s">
        <v>49</v>
      </c>
      <c r="G213" t="s">
        <v>10</v>
      </c>
      <c r="H213" t="s">
        <v>670</v>
      </c>
      <c r="J213" t="s">
        <v>520</v>
      </c>
      <c r="K213" t="str">
        <v>117.25</v>
      </c>
      <c r="L213" s="2">
        <f t="shared" si="3"/>
        <v>117.25</v>
      </c>
    </row>
    <row r="214" spans="1:12" x14ac:dyDescent="0.35">
      <c r="A214" t="s">
        <v>521</v>
      </c>
      <c r="B214">
        <v>1939</v>
      </c>
      <c r="C214">
        <v>8.1</v>
      </c>
      <c r="D214" s="1">
        <v>129062</v>
      </c>
      <c r="E214">
        <v>129</v>
      </c>
      <c r="F214" t="s">
        <v>22</v>
      </c>
      <c r="G214" t="s">
        <v>443</v>
      </c>
      <c r="H214" t="s">
        <v>10</v>
      </c>
      <c r="J214" t="s">
        <v>522</v>
      </c>
      <c r="K214" t="str">
        <v>0.15</v>
      </c>
      <c r="L214" s="2">
        <f t="shared" si="3"/>
        <v>0.15</v>
      </c>
    </row>
    <row r="215" spans="1:12" x14ac:dyDescent="0.35">
      <c r="A215" t="s">
        <v>523</v>
      </c>
      <c r="B215">
        <v>1972</v>
      </c>
      <c r="C215">
        <v>8.1</v>
      </c>
      <c r="D215" s="1">
        <v>77208</v>
      </c>
      <c r="E215">
        <v>137</v>
      </c>
      <c r="F215" t="s">
        <v>22</v>
      </c>
      <c r="G215" t="s">
        <v>10</v>
      </c>
      <c r="J215" t="s">
        <v>524</v>
      </c>
      <c r="K215" t="str">
        <v>0.09</v>
      </c>
      <c r="L215" s="2">
        <f t="shared" si="3"/>
        <v>0.09</v>
      </c>
    </row>
    <row r="216" spans="1:12" x14ac:dyDescent="0.35">
      <c r="A216" t="s">
        <v>525</v>
      </c>
      <c r="B216">
        <v>1954</v>
      </c>
      <c r="C216">
        <v>8.1</v>
      </c>
      <c r="D216" s="1">
        <v>177149</v>
      </c>
      <c r="E216">
        <v>108</v>
      </c>
      <c r="F216" t="s">
        <v>22</v>
      </c>
      <c r="G216" t="s">
        <v>632</v>
      </c>
      <c r="H216" t="s">
        <v>10</v>
      </c>
      <c r="I216" t="s">
        <v>664</v>
      </c>
      <c r="J216" t="s">
        <v>508</v>
      </c>
      <c r="K216" t="str">
        <v>0.00</v>
      </c>
      <c r="L216" s="2">
        <f t="shared" si="3"/>
        <v>0</v>
      </c>
    </row>
    <row r="217" spans="1:12" x14ac:dyDescent="0.35">
      <c r="A217" t="s">
        <v>526</v>
      </c>
      <c r="B217">
        <v>2003</v>
      </c>
      <c r="C217">
        <v>8.1</v>
      </c>
      <c r="D217" s="1">
        <v>1316491</v>
      </c>
      <c r="E217">
        <v>143</v>
      </c>
      <c r="F217" t="s">
        <v>16</v>
      </c>
      <c r="G217" t="s">
        <v>633</v>
      </c>
      <c r="H217" t="s">
        <v>634</v>
      </c>
      <c r="I217" t="s">
        <v>660</v>
      </c>
      <c r="J217" t="s">
        <v>527</v>
      </c>
      <c r="K217" t="str">
        <v>654.26</v>
      </c>
      <c r="L217" s="2">
        <f t="shared" si="3"/>
        <v>654.26</v>
      </c>
    </row>
    <row r="218" spans="1:12" x14ac:dyDescent="0.35">
      <c r="A218" t="s">
        <v>528</v>
      </c>
      <c r="B218">
        <v>1959</v>
      </c>
      <c r="C218">
        <v>8.1</v>
      </c>
      <c r="D218" s="1">
        <v>124052</v>
      </c>
      <c r="E218">
        <v>92</v>
      </c>
      <c r="F218" t="s">
        <v>22</v>
      </c>
      <c r="G218" t="s">
        <v>10</v>
      </c>
      <c r="H218" t="s">
        <v>663</v>
      </c>
      <c r="J218" t="s">
        <v>529</v>
      </c>
      <c r="K218" t="str">
        <v>0.10</v>
      </c>
      <c r="L218" s="2">
        <f t="shared" si="3"/>
        <v>0.1</v>
      </c>
    </row>
    <row r="219" spans="1:12" x14ac:dyDescent="0.35">
      <c r="A219" t="s">
        <v>530</v>
      </c>
      <c r="B219">
        <v>2015</v>
      </c>
      <c r="C219">
        <v>8.1</v>
      </c>
      <c r="D219" s="1">
        <v>532914</v>
      </c>
      <c r="E219">
        <v>129</v>
      </c>
      <c r="F219" t="s">
        <v>9</v>
      </c>
      <c r="G219" t="s">
        <v>635</v>
      </c>
      <c r="H219" t="s">
        <v>632</v>
      </c>
      <c r="I219" t="s">
        <v>10</v>
      </c>
      <c r="J219" t="s">
        <v>531</v>
      </c>
      <c r="K219" t="str">
        <v>98.69</v>
      </c>
      <c r="L219" s="2">
        <f t="shared" si="3"/>
        <v>98.69</v>
      </c>
    </row>
    <row r="220" spans="1:12" x14ac:dyDescent="0.35">
      <c r="A220" t="s">
        <v>532</v>
      </c>
      <c r="B220">
        <v>2016</v>
      </c>
      <c r="C220">
        <v>8.1999999999999993</v>
      </c>
      <c r="D220" s="1">
        <v>138542</v>
      </c>
      <c r="E220">
        <v>130</v>
      </c>
      <c r="F220" t="s">
        <v>22</v>
      </c>
      <c r="G220" t="s">
        <v>636</v>
      </c>
      <c r="H220" t="s">
        <v>10</v>
      </c>
      <c r="J220" t="s">
        <v>534</v>
      </c>
      <c r="K220" t="str">
        <v>30.82</v>
      </c>
      <c r="L220" s="2">
        <f t="shared" si="3"/>
        <v>30.82</v>
      </c>
    </row>
    <row r="221" spans="1:12" x14ac:dyDescent="0.35">
      <c r="A221" t="s">
        <v>535</v>
      </c>
      <c r="B221">
        <v>1996</v>
      </c>
      <c r="C221">
        <v>8.1</v>
      </c>
      <c r="D221" s="1">
        <v>224218</v>
      </c>
      <c r="E221">
        <v>98</v>
      </c>
      <c r="F221" t="s">
        <v>22</v>
      </c>
      <c r="G221" t="s">
        <v>632</v>
      </c>
      <c r="H221" t="s">
        <v>10</v>
      </c>
      <c r="J221" t="s">
        <v>536</v>
      </c>
      <c r="K221" t="str">
        <v>0.76</v>
      </c>
      <c r="L221" s="2">
        <f t="shared" si="3"/>
        <v>0.76</v>
      </c>
    </row>
    <row r="222" spans="1:12" x14ac:dyDescent="0.35">
      <c r="A222" t="s">
        <v>537</v>
      </c>
      <c r="B222">
        <v>1984</v>
      </c>
      <c r="C222">
        <v>8.1</v>
      </c>
      <c r="D222" s="1">
        <v>998811</v>
      </c>
      <c r="E222">
        <v>107</v>
      </c>
      <c r="F222" t="s">
        <v>9</v>
      </c>
      <c r="G222" t="s">
        <v>633</v>
      </c>
      <c r="H222" t="s">
        <v>634</v>
      </c>
      <c r="I222" t="s">
        <v>665</v>
      </c>
      <c r="J222" t="s">
        <v>538</v>
      </c>
      <c r="K222" t="str">
        <v>78.37</v>
      </c>
      <c r="L222" s="2">
        <f t="shared" si="3"/>
        <v>78.37</v>
      </c>
    </row>
    <row r="223" spans="1:12" x14ac:dyDescent="0.35">
      <c r="A223" t="s">
        <v>539</v>
      </c>
      <c r="B223">
        <v>2024</v>
      </c>
      <c r="C223">
        <v>8.3000000000000007</v>
      </c>
      <c r="D223" s="1">
        <v>80431</v>
      </c>
      <c r="E223">
        <v>141</v>
      </c>
      <c r="F223" t="s">
        <v>22</v>
      </c>
      <c r="G223" t="s">
        <v>633</v>
      </c>
      <c r="H223" t="s">
        <v>632</v>
      </c>
      <c r="I223" t="s">
        <v>10</v>
      </c>
      <c r="J223" t="s">
        <v>540</v>
      </c>
      <c r="K223" t="str">
        <v>0.98</v>
      </c>
      <c r="L223" s="2">
        <f t="shared" si="3"/>
        <v>0.98</v>
      </c>
    </row>
    <row r="224" spans="1:12" x14ac:dyDescent="0.35">
      <c r="A224" t="s">
        <v>541</v>
      </c>
      <c r="B224">
        <v>1950</v>
      </c>
      <c r="C224">
        <v>8.1</v>
      </c>
      <c r="D224" s="1">
        <v>194653</v>
      </c>
      <c r="E224">
        <v>104</v>
      </c>
      <c r="F224" t="s">
        <v>22</v>
      </c>
      <c r="G224" t="s">
        <v>10</v>
      </c>
      <c r="H224" t="s">
        <v>668</v>
      </c>
      <c r="I224" t="s">
        <v>637</v>
      </c>
      <c r="J224" t="s">
        <v>543</v>
      </c>
      <c r="K224" t="str">
        <v>1.43</v>
      </c>
      <c r="L224" s="2">
        <f t="shared" si="3"/>
        <v>1.43</v>
      </c>
    </row>
    <row r="225" spans="1:12" x14ac:dyDescent="0.35">
      <c r="A225" t="s">
        <v>544</v>
      </c>
      <c r="B225">
        <v>1965</v>
      </c>
      <c r="C225">
        <v>8.1</v>
      </c>
      <c r="D225" s="1">
        <v>289886</v>
      </c>
      <c r="E225">
        <v>174</v>
      </c>
      <c r="F225" t="s">
        <v>112</v>
      </c>
      <c r="G225" t="s">
        <v>635</v>
      </c>
      <c r="H225" t="s">
        <v>10</v>
      </c>
      <c r="I225" t="s">
        <v>659</v>
      </c>
      <c r="J225" t="s">
        <v>546</v>
      </c>
      <c r="K225" t="str">
        <v>161.51</v>
      </c>
      <c r="L225" s="2">
        <f t="shared" si="3"/>
        <v>161.51</v>
      </c>
    </row>
    <row r="226" spans="1:12" x14ac:dyDescent="0.35">
      <c r="A226" t="s">
        <v>547</v>
      </c>
      <c r="B226">
        <v>2021</v>
      </c>
      <c r="C226">
        <v>8.6</v>
      </c>
      <c r="D226" s="1">
        <v>233427</v>
      </c>
      <c r="E226">
        <v>164</v>
      </c>
      <c r="F226" t="s">
        <v>22</v>
      </c>
      <c r="G226" t="s">
        <v>632</v>
      </c>
      <c r="H226" t="s">
        <v>10</v>
      </c>
      <c r="K226" t="str">
        <v/>
      </c>
      <c r="L226" s="2"/>
    </row>
    <row r="227" spans="1:12" x14ac:dyDescent="0.35">
      <c r="A227" t="s">
        <v>548</v>
      </c>
      <c r="B227">
        <v>1998</v>
      </c>
      <c r="C227">
        <v>8.1</v>
      </c>
      <c r="D227" s="1">
        <v>913539</v>
      </c>
      <c r="E227">
        <v>117</v>
      </c>
      <c r="F227" t="s">
        <v>9</v>
      </c>
      <c r="G227" t="s">
        <v>443</v>
      </c>
      <c r="H227" t="s">
        <v>632</v>
      </c>
      <c r="J227" t="s">
        <v>549</v>
      </c>
      <c r="K227" t="str">
        <v>48.26</v>
      </c>
      <c r="L227" s="2">
        <f t="shared" si="3"/>
        <v>48.26</v>
      </c>
    </row>
    <row r="228" spans="1:12" x14ac:dyDescent="0.35">
      <c r="A228" t="s">
        <v>550</v>
      </c>
      <c r="B228">
        <v>1947</v>
      </c>
      <c r="C228">
        <v>8.1</v>
      </c>
      <c r="D228" s="1">
        <v>77141</v>
      </c>
      <c r="E228">
        <v>170</v>
      </c>
      <c r="F228" t="s">
        <v>22</v>
      </c>
      <c r="G228" t="s">
        <v>10</v>
      </c>
      <c r="H228" t="s">
        <v>663</v>
      </c>
      <c r="I228" t="s">
        <v>666</v>
      </c>
      <c r="J228" t="s">
        <v>551</v>
      </c>
      <c r="K228" t="str">
        <v>23.67</v>
      </c>
      <c r="L228" s="2">
        <f t="shared" si="3"/>
        <v>23.67</v>
      </c>
    </row>
    <row r="229" spans="1:12" x14ac:dyDescent="0.35">
      <c r="A229" t="s">
        <v>552</v>
      </c>
      <c r="B229">
        <v>1958</v>
      </c>
      <c r="C229">
        <v>8.1</v>
      </c>
      <c r="D229" s="1">
        <v>215189</v>
      </c>
      <c r="E229">
        <v>96</v>
      </c>
      <c r="F229" t="s">
        <v>22</v>
      </c>
      <c r="G229" t="s">
        <v>10</v>
      </c>
      <c r="H229" t="s">
        <v>660</v>
      </c>
      <c r="J229" t="s">
        <v>181</v>
      </c>
      <c r="K229" t="str">
        <v>0.34</v>
      </c>
      <c r="L229" s="2">
        <f t="shared" si="3"/>
        <v>0.34</v>
      </c>
    </row>
    <row r="230" spans="1:12" x14ac:dyDescent="0.35">
      <c r="A230" t="s">
        <v>554</v>
      </c>
      <c r="B230">
        <v>2004</v>
      </c>
      <c r="C230">
        <v>8.1</v>
      </c>
      <c r="D230" s="1">
        <v>313141</v>
      </c>
      <c r="E230">
        <v>80</v>
      </c>
      <c r="F230" t="s">
        <v>9</v>
      </c>
      <c r="G230" t="s">
        <v>10</v>
      </c>
      <c r="H230" t="s">
        <v>663</v>
      </c>
      <c r="J230" t="s">
        <v>555</v>
      </c>
      <c r="K230" t="str">
        <v>16.51</v>
      </c>
      <c r="L230" s="2">
        <f t="shared" si="3"/>
        <v>16.510000000000002</v>
      </c>
    </row>
    <row r="231" spans="1:12" x14ac:dyDescent="0.35">
      <c r="A231" t="s">
        <v>556</v>
      </c>
      <c r="B231">
        <v>2016</v>
      </c>
      <c r="C231">
        <v>8.1</v>
      </c>
      <c r="D231" s="1">
        <v>478524</v>
      </c>
      <c r="E231">
        <v>118</v>
      </c>
      <c r="F231" t="s">
        <v>9</v>
      </c>
      <c r="G231" t="s">
        <v>10</v>
      </c>
      <c r="H231" t="s">
        <v>664</v>
      </c>
      <c r="J231" t="s">
        <v>557</v>
      </c>
      <c r="K231" t="str">
        <v>35.40</v>
      </c>
      <c r="L231" s="2">
        <f t="shared" si="3"/>
        <v>35.4</v>
      </c>
    </row>
    <row r="232" spans="1:12" x14ac:dyDescent="0.35">
      <c r="A232" t="s">
        <v>558</v>
      </c>
      <c r="B232">
        <v>2005</v>
      </c>
      <c r="C232">
        <v>8.1</v>
      </c>
      <c r="D232" s="1">
        <v>390915</v>
      </c>
      <c r="E232">
        <v>121</v>
      </c>
      <c r="F232" t="s">
        <v>16</v>
      </c>
      <c r="G232" t="s">
        <v>635</v>
      </c>
      <c r="H232" t="s">
        <v>10</v>
      </c>
      <c r="I232" t="s">
        <v>661</v>
      </c>
      <c r="J232" t="s">
        <v>559</v>
      </c>
      <c r="K232" t="str">
        <v>33.88</v>
      </c>
      <c r="L232" s="2">
        <f t="shared" si="3"/>
        <v>33.880000000000003</v>
      </c>
    </row>
    <row r="233" spans="1:12" x14ac:dyDescent="0.35">
      <c r="A233" t="s">
        <v>560</v>
      </c>
      <c r="B233">
        <v>2025</v>
      </c>
      <c r="C233">
        <v>8.3000000000000007</v>
      </c>
      <c r="D233" s="1">
        <v>49117</v>
      </c>
      <c r="E233">
        <v>100</v>
      </c>
      <c r="F233" t="s">
        <v>9</v>
      </c>
      <c r="G233" t="s">
        <v>636</v>
      </c>
      <c r="H233" t="s">
        <v>633</v>
      </c>
      <c r="I233" t="s">
        <v>634</v>
      </c>
      <c r="J233" t="s">
        <v>561</v>
      </c>
      <c r="K233" t="str">
        <v>163.06</v>
      </c>
      <c r="L233" s="2">
        <f t="shared" si="3"/>
        <v>163.06</v>
      </c>
    </row>
    <row r="234" spans="1:12" x14ac:dyDescent="0.35">
      <c r="A234" t="s">
        <v>562</v>
      </c>
      <c r="B234">
        <v>2004</v>
      </c>
      <c r="C234">
        <v>8</v>
      </c>
      <c r="D234" s="1">
        <v>894329</v>
      </c>
      <c r="E234">
        <v>115</v>
      </c>
      <c r="F234" t="s">
        <v>49</v>
      </c>
      <c r="G234" t="s">
        <v>636</v>
      </c>
      <c r="H234" t="s">
        <v>633</v>
      </c>
      <c r="I234" t="s">
        <v>634</v>
      </c>
      <c r="J234" t="s">
        <v>563</v>
      </c>
      <c r="K234" t="str">
        <v>631.69</v>
      </c>
      <c r="L234" s="2">
        <f t="shared" si="3"/>
        <v>631.69000000000005</v>
      </c>
    </row>
    <row r="235" spans="1:12" x14ac:dyDescent="0.35">
      <c r="A235" t="s">
        <v>564</v>
      </c>
      <c r="B235">
        <v>1986</v>
      </c>
      <c r="C235">
        <v>8.1</v>
      </c>
      <c r="D235" s="1">
        <v>470820</v>
      </c>
      <c r="E235">
        <v>120</v>
      </c>
      <c r="F235" t="s">
        <v>9</v>
      </c>
      <c r="G235" t="s">
        <v>10</v>
      </c>
      <c r="H235" t="s">
        <v>666</v>
      </c>
      <c r="J235" t="s">
        <v>565</v>
      </c>
      <c r="K235" t="str">
        <v>138.55</v>
      </c>
      <c r="L235" s="2">
        <f t="shared" si="3"/>
        <v>138.55000000000001</v>
      </c>
    </row>
    <row r="236" spans="1:12" x14ac:dyDescent="0.35">
      <c r="A236" t="s">
        <v>566</v>
      </c>
      <c r="B236">
        <v>2010</v>
      </c>
      <c r="C236">
        <v>8.1</v>
      </c>
      <c r="D236" s="1">
        <v>340864</v>
      </c>
      <c r="E236">
        <v>93</v>
      </c>
      <c r="F236" t="s">
        <v>112</v>
      </c>
      <c r="G236" t="s">
        <v>635</v>
      </c>
      <c r="H236" t="s">
        <v>10</v>
      </c>
      <c r="I236" t="s">
        <v>659</v>
      </c>
      <c r="J236" t="s">
        <v>567</v>
      </c>
      <c r="K236" t="str">
        <v>46.75</v>
      </c>
      <c r="L236" s="2">
        <f t="shared" si="3"/>
        <v>46.75</v>
      </c>
    </row>
    <row r="237" spans="1:12" x14ac:dyDescent="0.35">
      <c r="A237" t="s">
        <v>568</v>
      </c>
      <c r="B237">
        <v>1973</v>
      </c>
      <c r="C237">
        <v>8.1</v>
      </c>
      <c r="D237" s="1">
        <v>496255</v>
      </c>
      <c r="E237">
        <v>122</v>
      </c>
      <c r="F237" t="s">
        <v>9</v>
      </c>
      <c r="G237" t="s">
        <v>569</v>
      </c>
      <c r="J237" t="s">
        <v>570</v>
      </c>
      <c r="K237" t="str">
        <v>430.87</v>
      </c>
      <c r="L237" s="2">
        <f t="shared" si="3"/>
        <v>430.87</v>
      </c>
    </row>
    <row r="238" spans="1:12" x14ac:dyDescent="0.35">
      <c r="A238" t="s">
        <v>571</v>
      </c>
      <c r="B238">
        <v>2013</v>
      </c>
      <c r="C238">
        <v>8.1</v>
      </c>
      <c r="D238" s="1">
        <v>556044</v>
      </c>
      <c r="E238">
        <v>123</v>
      </c>
      <c r="F238" t="s">
        <v>9</v>
      </c>
      <c r="G238" t="s">
        <v>635</v>
      </c>
      <c r="H238" t="s">
        <v>10</v>
      </c>
      <c r="I238" t="s">
        <v>670</v>
      </c>
      <c r="J238" t="s">
        <v>572</v>
      </c>
      <c r="K238" t="str">
        <v>93.33</v>
      </c>
      <c r="L238" s="2">
        <f t="shared" si="3"/>
        <v>93.33</v>
      </c>
    </row>
    <row r="239" spans="1:12" x14ac:dyDescent="0.35">
      <c r="A239" t="s">
        <v>573</v>
      </c>
      <c r="B239">
        <v>1999</v>
      </c>
      <c r="C239">
        <v>8.1</v>
      </c>
      <c r="D239" s="1">
        <v>258235</v>
      </c>
      <c r="E239">
        <v>86</v>
      </c>
      <c r="F239" t="s">
        <v>49</v>
      </c>
      <c r="G239" t="s">
        <v>636</v>
      </c>
      <c r="H239" t="s">
        <v>633</v>
      </c>
      <c r="I239" t="s">
        <v>634</v>
      </c>
      <c r="J239" t="s">
        <v>145</v>
      </c>
      <c r="K239" t="str">
        <v>23.34</v>
      </c>
      <c r="L239" s="2">
        <f t="shared" si="3"/>
        <v>23.34</v>
      </c>
    </row>
    <row r="240" spans="1:12" x14ac:dyDescent="0.35">
      <c r="A240" t="s">
        <v>574</v>
      </c>
      <c r="B240">
        <v>1939</v>
      </c>
      <c r="C240">
        <v>8.1</v>
      </c>
      <c r="D240" s="1">
        <v>465566</v>
      </c>
      <c r="E240">
        <v>102</v>
      </c>
      <c r="F240" t="s">
        <v>112</v>
      </c>
      <c r="G240" t="s">
        <v>634</v>
      </c>
      <c r="H240" t="s">
        <v>659</v>
      </c>
      <c r="I240" t="s">
        <v>660</v>
      </c>
      <c r="J240" t="s">
        <v>575</v>
      </c>
      <c r="K240" t="str">
        <v>25.64</v>
      </c>
      <c r="L240" s="2">
        <f t="shared" si="3"/>
        <v>25.64</v>
      </c>
    </row>
    <row r="241" spans="1:12" x14ac:dyDescent="0.35">
      <c r="A241" t="s">
        <v>576</v>
      </c>
      <c r="B241">
        <v>1986</v>
      </c>
      <c r="C241">
        <v>8.1</v>
      </c>
      <c r="D241" s="1">
        <v>484400</v>
      </c>
      <c r="E241">
        <v>89</v>
      </c>
      <c r="F241" t="s">
        <v>9</v>
      </c>
      <c r="G241" t="s">
        <v>634</v>
      </c>
      <c r="H241" t="s">
        <v>443</v>
      </c>
      <c r="I241" t="s">
        <v>10</v>
      </c>
      <c r="J241" t="s">
        <v>577</v>
      </c>
      <c r="K241" t="str">
        <v>53.53</v>
      </c>
      <c r="L241" s="2">
        <f t="shared" si="3"/>
        <v>53.53</v>
      </c>
    </row>
    <row r="242" spans="1:12" x14ac:dyDescent="0.35">
      <c r="A242" t="s">
        <v>578</v>
      </c>
      <c r="B242">
        <v>1928</v>
      </c>
      <c r="C242">
        <v>8.1</v>
      </c>
      <c r="D242" s="1">
        <v>67817</v>
      </c>
      <c r="E242">
        <v>114</v>
      </c>
      <c r="F242" t="s">
        <v>22</v>
      </c>
      <c r="G242" t="s">
        <v>635</v>
      </c>
      <c r="H242" t="s">
        <v>10</v>
      </c>
      <c r="I242" t="s">
        <v>661</v>
      </c>
      <c r="J242" t="s">
        <v>117</v>
      </c>
      <c r="K242" t="str">
        <v>0.02</v>
      </c>
      <c r="L242" s="2">
        <f t="shared" si="3"/>
        <v>0.02</v>
      </c>
    </row>
    <row r="243" spans="1:12" x14ac:dyDescent="0.35">
      <c r="A243" t="s">
        <v>579</v>
      </c>
      <c r="B243">
        <v>2005</v>
      </c>
      <c r="C243">
        <v>8.1999999999999993</v>
      </c>
      <c r="D243" s="1">
        <v>100337</v>
      </c>
      <c r="E243">
        <v>112</v>
      </c>
      <c r="F243" t="s">
        <v>22</v>
      </c>
      <c r="G243" t="s">
        <v>10</v>
      </c>
      <c r="H243" t="s">
        <v>659</v>
      </c>
      <c r="J243" t="s">
        <v>580</v>
      </c>
      <c r="K243" t="str">
        <v>18.61</v>
      </c>
      <c r="L243" s="2">
        <f t="shared" si="3"/>
        <v>18.61</v>
      </c>
    </row>
    <row r="244" spans="1:12" x14ac:dyDescent="0.35">
      <c r="A244" t="s">
        <v>581</v>
      </c>
      <c r="B244">
        <v>1967</v>
      </c>
      <c r="C244">
        <v>8.1</v>
      </c>
      <c r="D244" s="1">
        <v>75159</v>
      </c>
      <c r="E244">
        <v>121</v>
      </c>
      <c r="F244" t="s">
        <v>22</v>
      </c>
      <c r="G244" t="s">
        <v>10</v>
      </c>
      <c r="H244" t="s">
        <v>666</v>
      </c>
      <c r="J244" t="s">
        <v>582</v>
      </c>
      <c r="K244" t="str">
        <v>0.96</v>
      </c>
      <c r="L244" s="2">
        <f t="shared" si="3"/>
        <v>0.96</v>
      </c>
    </row>
    <row r="245" spans="1:12" x14ac:dyDescent="0.35">
      <c r="A245" t="s">
        <v>583</v>
      </c>
      <c r="B245">
        <v>2017</v>
      </c>
      <c r="C245">
        <v>8.1</v>
      </c>
      <c r="D245" s="1">
        <v>201118</v>
      </c>
      <c r="E245">
        <v>145</v>
      </c>
      <c r="F245" t="s">
        <v>22</v>
      </c>
      <c r="G245" t="s">
        <v>10</v>
      </c>
      <c r="H245" t="s">
        <v>663</v>
      </c>
      <c r="I245" t="s">
        <v>664</v>
      </c>
      <c r="J245" t="s">
        <v>585</v>
      </c>
      <c r="K245" t="str">
        <v>37.96</v>
      </c>
      <c r="L245" s="2">
        <f t="shared" si="3"/>
        <v>37.96</v>
      </c>
    </row>
    <row r="246" spans="1:12" x14ac:dyDescent="0.35">
      <c r="A246" t="s">
        <v>586</v>
      </c>
      <c r="B246">
        <v>1976</v>
      </c>
      <c r="C246">
        <v>8.1</v>
      </c>
      <c r="D246" s="1">
        <v>185436</v>
      </c>
      <c r="E246">
        <v>121</v>
      </c>
      <c r="F246" t="s">
        <v>9</v>
      </c>
      <c r="G246" t="s">
        <v>10</v>
      </c>
      <c r="J246" t="s">
        <v>587</v>
      </c>
      <c r="K246" t="str">
        <v>23.70</v>
      </c>
      <c r="L246" s="2">
        <f t="shared" si="3"/>
        <v>23.7</v>
      </c>
    </row>
    <row r="247" spans="1:12" x14ac:dyDescent="0.35">
      <c r="A247" t="s">
        <v>588</v>
      </c>
      <c r="B247">
        <v>2015</v>
      </c>
      <c r="C247">
        <v>8.1999999999999993</v>
      </c>
      <c r="D247" s="1">
        <v>107875</v>
      </c>
      <c r="E247">
        <v>163</v>
      </c>
      <c r="F247" t="s">
        <v>22</v>
      </c>
      <c r="G247" t="s">
        <v>632</v>
      </c>
      <c r="H247" t="s">
        <v>10</v>
      </c>
      <c r="I247" t="s">
        <v>637</v>
      </c>
      <c r="K247" t="str">
        <v/>
      </c>
      <c r="L247" s="2"/>
    </row>
    <row r="248" spans="1:12" x14ac:dyDescent="0.35">
      <c r="A248" t="s">
        <v>589</v>
      </c>
      <c r="B248">
        <v>1940</v>
      </c>
      <c r="C248">
        <v>8.1</v>
      </c>
      <c r="D248" s="1">
        <v>108041</v>
      </c>
      <c r="E248">
        <v>129</v>
      </c>
      <c r="F248" t="s">
        <v>22</v>
      </c>
      <c r="G248" t="s">
        <v>10</v>
      </c>
      <c r="J248" t="s">
        <v>23</v>
      </c>
      <c r="K248" t="str">
        <v>0.01</v>
      </c>
      <c r="L248" s="2">
        <f t="shared" si="3"/>
        <v>0.01</v>
      </c>
    </row>
    <row r="249" spans="1:12" x14ac:dyDescent="0.35">
      <c r="A249" t="s">
        <v>590</v>
      </c>
      <c r="B249">
        <v>1942</v>
      </c>
      <c r="C249">
        <v>8.1</v>
      </c>
      <c r="D249" s="1">
        <v>49586</v>
      </c>
      <c r="E249">
        <v>99</v>
      </c>
      <c r="F249" t="s">
        <v>22</v>
      </c>
      <c r="G249" t="s">
        <v>443</v>
      </c>
      <c r="H249" t="s">
        <v>663</v>
      </c>
      <c r="I249" t="s">
        <v>666</v>
      </c>
      <c r="J249" t="s">
        <v>508</v>
      </c>
      <c r="K249" t="str">
        <v>0.00</v>
      </c>
      <c r="L249" s="2">
        <f t="shared" si="3"/>
        <v>0</v>
      </c>
    </row>
    <row r="250" spans="1:12" x14ac:dyDescent="0.35">
      <c r="A250" t="s">
        <v>592</v>
      </c>
      <c r="B250">
        <v>2012</v>
      </c>
      <c r="C250">
        <v>8.1999999999999993</v>
      </c>
      <c r="D250" s="1">
        <v>113517</v>
      </c>
      <c r="E250">
        <v>321</v>
      </c>
      <c r="F250" t="s">
        <v>22</v>
      </c>
      <c r="G250" t="s">
        <v>633</v>
      </c>
      <c r="H250" t="s">
        <v>443</v>
      </c>
      <c r="I250" t="s">
        <v>632</v>
      </c>
      <c r="J250" t="s">
        <v>594</v>
      </c>
      <c r="K250" t="str">
        <v>4.38</v>
      </c>
      <c r="L250" s="2">
        <f t="shared" si="3"/>
        <v>4.38</v>
      </c>
    </row>
    <row r="251" spans="1:12" x14ac:dyDescent="0.35">
      <c r="A251" t="s">
        <v>595</v>
      </c>
      <c r="B251">
        <v>1978</v>
      </c>
      <c r="C251">
        <v>8.1</v>
      </c>
      <c r="D251" s="1">
        <v>41972</v>
      </c>
      <c r="E251">
        <v>99</v>
      </c>
      <c r="F251" t="s">
        <v>49</v>
      </c>
      <c r="G251" t="s">
        <v>10</v>
      </c>
      <c r="H251" t="s">
        <v>667</v>
      </c>
      <c r="J251" t="s">
        <v>291</v>
      </c>
      <c r="K251" t="str">
        <v>0.04</v>
      </c>
      <c r="L251" s="2">
        <f t="shared" si="3"/>
        <v>0.04</v>
      </c>
    </row>
  </sheetData>
  <sortState xmlns:xlrd2="http://schemas.microsoft.com/office/spreadsheetml/2017/richdata2" ref="AA21:AB108">
    <sortCondition descending="1" ref="AB21:AB108"/>
  </sortState>
  <dataValidations count="5">
    <dataValidation type="list" allowBlank="1" showInputMessage="1" showErrorMessage="1" sqref="F1" xr:uid="{1186311C-A610-46EA-88C5-412D78B63284}">
      <formula1>$F$2:$F$49</formula1>
    </dataValidation>
    <dataValidation type="list" allowBlank="1" showInputMessage="1" showErrorMessage="1" sqref="G1:G1048576 I1 I3:I1048576" xr:uid="{7D301CEB-D1E1-4215-8C99-330A0B29BDDF}">
      <formula1>$G$2:$G$251</formula1>
    </dataValidation>
    <dataValidation type="list" allowBlank="1" showInputMessage="1" showErrorMessage="1" sqref="H1:H1048576" xr:uid="{C4489F35-628F-4DF3-A903-E43F0E6FF3F0}">
      <formula1>$H$2:$H$251</formula1>
    </dataValidation>
    <dataValidation type="list" allowBlank="1" showInputMessage="1" showErrorMessage="1" sqref="I2" xr:uid="{14F6A1D3-4722-4226-9D6B-4E7E10C0A042}">
      <formula1>$I:$I</formula1>
    </dataValidation>
    <dataValidation type="list" allowBlank="1" showInputMessage="1" showErrorMessage="1" sqref="B1:B1048576 AA21:AA108 AE21:AE108" xr:uid="{F86A5B5C-054B-46A0-865F-DE8EFC76049C}">
      <formula1>$B$2:$B$251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6317cb-e948-4e5f-8cec-dabc8e2fd5da}" enabled="0" method="" siteId="{766317cb-e948-4e5f-8cec-dabc8e2fd5d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 set</vt:lpstr>
      <vt:lpstr>Pre cleaning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Amelka Stronska</dc:creator>
  <cp:lastModifiedBy>A00043106 Amelia Stronska</cp:lastModifiedBy>
  <dcterms:created xsi:type="dcterms:W3CDTF">2015-06-05T18:17:20Z</dcterms:created>
  <dcterms:modified xsi:type="dcterms:W3CDTF">2026-03-28T11:00:46Z</dcterms:modified>
</cp:coreProperties>
</file>